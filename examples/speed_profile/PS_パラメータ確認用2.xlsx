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ta\Downloads\"/>
    </mc:Choice>
  </mc:AlternateContent>
  <xr:revisionPtr revIDLastSave="0" documentId="13_ncr:1_{A9956D6C-DA3E-42D3-80D1-AE560013EECF}" xr6:coauthVersionLast="47" xr6:coauthVersionMax="47" xr10:uidLastSave="{00000000-0000-0000-0000-000000000000}"/>
  <bookViews>
    <workbookView xWindow="810" yWindow="-120" windowWidth="28110" windowHeight="16440" activeTab="1" xr2:uid="{BBC77CC2-0B54-478C-AD71-311F77EAA133}"/>
  </bookViews>
  <sheets>
    <sheet name="Sheet1" sheetId="1" r:id="rId1"/>
    <sheet name="速度プロファイル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" l="1" a="1"/>
  <c r="I1" i="2" s="1"/>
  <c r="H1" i="2" a="1"/>
  <c r="H1" i="2" s="1"/>
  <c r="E91" i="2"/>
  <c r="E54" i="2"/>
  <c r="E53" i="2"/>
  <c r="E2" i="2"/>
  <c r="F2" i="2" s="1"/>
  <c r="G2" i="2" s="1"/>
  <c r="G83" i="2"/>
  <c r="G84" i="2"/>
  <c r="G85" i="2" s="1"/>
  <c r="G86" i="2" s="1"/>
  <c r="G87" i="2" s="1"/>
  <c r="G88" i="2" s="1"/>
  <c r="G89" i="2" s="1"/>
  <c r="G90" i="2" s="1"/>
  <c r="G82" i="2"/>
  <c r="F82" i="2"/>
  <c r="F84" i="2"/>
  <c r="F85" i="2"/>
  <c r="F86" i="2"/>
  <c r="F87" i="2"/>
  <c r="F88" i="2"/>
  <c r="F89" i="2"/>
  <c r="F90" i="2"/>
  <c r="F91" i="2"/>
  <c r="F83" i="2"/>
  <c r="E83" i="2"/>
  <c r="E84" i="2"/>
  <c r="E85" i="2"/>
  <c r="E86" i="2"/>
  <c r="E87" i="2"/>
  <c r="E88" i="2"/>
  <c r="E89" i="2"/>
  <c r="E90" i="2"/>
  <c r="E82" i="2"/>
  <c r="G81" i="2"/>
  <c r="F3" i="2"/>
  <c r="F4" i="2"/>
  <c r="F5" i="2"/>
  <c r="F6" i="2"/>
  <c r="F7" i="2"/>
  <c r="F8" i="2"/>
  <c r="F9" i="2"/>
  <c r="F10" i="2"/>
  <c r="G10" i="2" s="1"/>
  <c r="F11" i="2"/>
  <c r="G11" i="2" s="1"/>
  <c r="F12" i="2"/>
  <c r="G12" i="2" s="1"/>
  <c r="F13" i="2"/>
  <c r="G13" i="2" s="1"/>
  <c r="F14" i="2"/>
  <c r="F15" i="2"/>
  <c r="F16" i="2"/>
  <c r="F17" i="2"/>
  <c r="F18" i="2"/>
  <c r="F19" i="2"/>
  <c r="F20" i="2"/>
  <c r="F21" i="2"/>
  <c r="F22" i="2"/>
  <c r="G22" i="2" s="1"/>
  <c r="F23" i="2"/>
  <c r="G23" i="2" s="1"/>
  <c r="F24" i="2"/>
  <c r="G24" i="2" s="1"/>
  <c r="F25" i="2"/>
  <c r="G25" i="2" s="1"/>
  <c r="F26" i="2"/>
  <c r="F27" i="2"/>
  <c r="F28" i="2"/>
  <c r="F29" i="2"/>
  <c r="F30" i="2"/>
  <c r="F31" i="2"/>
  <c r="F32" i="2"/>
  <c r="F33" i="2"/>
  <c r="F34" i="2"/>
  <c r="G34" i="2" s="1"/>
  <c r="F35" i="2"/>
  <c r="G35" i="2" s="1"/>
  <c r="F36" i="2"/>
  <c r="G36" i="2" s="1"/>
  <c r="F37" i="2"/>
  <c r="G37" i="2" s="1"/>
  <c r="F38" i="2"/>
  <c r="F39" i="2"/>
  <c r="F40" i="2"/>
  <c r="F41" i="2"/>
  <c r="F42" i="2"/>
  <c r="F43" i="2"/>
  <c r="F44" i="2"/>
  <c r="F45" i="2"/>
  <c r="F46" i="2"/>
  <c r="G46" i="2" s="1"/>
  <c r="F47" i="2"/>
  <c r="G47" i="2" s="1"/>
  <c r="F48" i="2"/>
  <c r="G48" i="2" s="1"/>
  <c r="F49" i="2"/>
  <c r="G49" i="2" s="1"/>
  <c r="F50" i="2"/>
  <c r="F51" i="2"/>
  <c r="F52" i="2"/>
  <c r="F53" i="2"/>
  <c r="F54" i="2"/>
  <c r="F55" i="2"/>
  <c r="F56" i="2"/>
  <c r="F57" i="2"/>
  <c r="F58" i="2"/>
  <c r="G58" i="2" s="1"/>
  <c r="F59" i="2"/>
  <c r="G59" i="2" s="1"/>
  <c r="F60" i="2"/>
  <c r="G60" i="2" s="1"/>
  <c r="F61" i="2"/>
  <c r="G61" i="2" s="1"/>
  <c r="F62" i="2"/>
  <c r="F63" i="2"/>
  <c r="F64" i="2"/>
  <c r="F65" i="2"/>
  <c r="F66" i="2"/>
  <c r="F67" i="2"/>
  <c r="F68" i="2"/>
  <c r="F69" i="2"/>
  <c r="F70" i="2"/>
  <c r="G70" i="2" s="1"/>
  <c r="F71" i="2"/>
  <c r="G71" i="2" s="1"/>
  <c r="F72" i="2"/>
  <c r="G72" i="2" s="1"/>
  <c r="F73" i="2"/>
  <c r="G73" i="2" s="1"/>
  <c r="F74" i="2"/>
  <c r="F75" i="2"/>
  <c r="F76" i="2"/>
  <c r="F77" i="2"/>
  <c r="F78" i="2"/>
  <c r="F79" i="2"/>
  <c r="F80" i="2"/>
  <c r="F81" i="2"/>
  <c r="F1" i="2"/>
  <c r="G1" i="2" s="1"/>
  <c r="G3" i="2"/>
  <c r="G4" i="2"/>
  <c r="G5" i="2"/>
  <c r="G6" i="2"/>
  <c r="G7" i="2"/>
  <c r="G8" i="2"/>
  <c r="G9" i="2"/>
  <c r="G14" i="2"/>
  <c r="G15" i="2"/>
  <c r="G16" i="2"/>
  <c r="G17" i="2"/>
  <c r="G18" i="2"/>
  <c r="G19" i="2"/>
  <c r="G20" i="2"/>
  <c r="G21" i="2"/>
  <c r="G26" i="2"/>
  <c r="G27" i="2"/>
  <c r="G28" i="2"/>
  <c r="G29" i="2"/>
  <c r="G30" i="2"/>
  <c r="G31" i="2"/>
  <c r="G32" i="2"/>
  <c r="G33" i="2"/>
  <c r="G38" i="2"/>
  <c r="G39" i="2"/>
  <c r="G40" i="2"/>
  <c r="G41" i="2"/>
  <c r="G42" i="2"/>
  <c r="G43" i="2"/>
  <c r="G44" i="2"/>
  <c r="G45" i="2"/>
  <c r="G50" i="2"/>
  <c r="G51" i="2"/>
  <c r="G52" i="2"/>
  <c r="G53" i="2"/>
  <c r="G54" i="2"/>
  <c r="G55" i="2"/>
  <c r="G56" i="2"/>
  <c r="G57" i="2"/>
  <c r="G62" i="2"/>
  <c r="G63" i="2"/>
  <c r="G64" i="2"/>
  <c r="G65" i="2"/>
  <c r="G66" i="2"/>
  <c r="G67" i="2"/>
  <c r="G68" i="2"/>
  <c r="G69" i="2"/>
  <c r="G74" i="2"/>
  <c r="G75" i="2"/>
  <c r="G76" i="2"/>
  <c r="G77" i="2"/>
  <c r="G78" i="2"/>
  <c r="G79" i="2"/>
  <c r="G8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1" i="2"/>
  <c r="B6" i="2"/>
  <c r="B3" i="2"/>
  <c r="B4" i="2" s="1"/>
  <c r="B11" i="2"/>
  <c r="B10" i="2"/>
  <c r="B7" i="2"/>
  <c r="B8" i="2" s="1"/>
  <c r="E2" i="1"/>
  <c r="I2" i="1"/>
  <c r="I4" i="1"/>
  <c r="I3" i="1"/>
  <c r="E3" i="1"/>
  <c r="E4" i="1"/>
  <c r="E5" i="1"/>
  <c r="I5" i="1" s="1"/>
  <c r="E6" i="1"/>
  <c r="E7" i="1"/>
  <c r="I7" i="1" s="1"/>
  <c r="E8" i="1"/>
  <c r="I8" i="1" s="1"/>
  <c r="I6" i="1"/>
  <c r="H3" i="1"/>
  <c r="H4" i="1"/>
  <c r="H5" i="1"/>
  <c r="H6" i="1"/>
  <c r="H7" i="1"/>
  <c r="H8" i="1"/>
  <c r="H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2" i="1"/>
  <c r="G2" i="1" s="1"/>
  <c r="G91" i="2" l="1"/>
  <c r="B13" i="2"/>
  <c r="B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<sst xmlns="http://schemas.openxmlformats.org/spreadsheetml/2006/main" count="22" uniqueCount="22">
  <si>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角速度</t>
    <rPh sb="0" eb="3">
      <t>カクソクド</t>
    </rPh>
    <phoneticPr fontId="1"/>
  </si>
  <si>
    <t>目標速度[m/s]</t>
    <rPh sb="0" eb="2">
      <t>モクヒョウ</t>
    </rPh>
    <rPh sb="2" eb="4">
      <t>ソクド</t>
    </rPh>
    <phoneticPr fontId="1"/>
  </si>
  <si>
    <t>回転数[rps]</t>
    <rPh sb="0" eb="3">
      <t>カイテンスウ</t>
    </rPh>
    <phoneticPr fontId="1"/>
  </si>
  <si>
    <t>回転数[rpm]</t>
    <rPh sb="0" eb="1">
      <t>テン</t>
    </rPh>
    <rPh sb="1" eb="2">
      <t>スウ</t>
    </rPh>
    <phoneticPr fontId="1"/>
  </si>
  <si>
    <t>M3508[rpm]</t>
    <phoneticPr fontId="1"/>
  </si>
  <si>
    <t>M3508[Nm]</t>
    <phoneticPr fontId="1"/>
  </si>
  <si>
    <t>正味先端質量[kg]</t>
    <rPh sb="0" eb="2">
      <t>ショウミ</t>
    </rPh>
    <rPh sb="2" eb="4">
      <t>センタン</t>
    </rPh>
    <rPh sb="4" eb="6">
      <t>シツリョウ</t>
    </rPh>
    <phoneticPr fontId="1"/>
  </si>
  <si>
    <t>角加速度</t>
    <rPh sb="0" eb="1">
      <t>カク</t>
    </rPh>
    <rPh sb="1" eb="4">
      <t>カソクド</t>
    </rPh>
    <phoneticPr fontId="1"/>
  </si>
  <si>
    <t>目標角[deg]</t>
    <rPh sb="0" eb="3">
      <t>モクヒョウカク</t>
    </rPh>
    <phoneticPr fontId="1"/>
  </si>
  <si>
    <t>リリース角[deg]</t>
    <rPh sb="4" eb="5">
      <t>カク</t>
    </rPh>
    <phoneticPr fontId="1"/>
  </si>
  <si>
    <t>加速域[deg]</t>
    <rPh sb="0" eb="3">
      <t>カソクイキ</t>
    </rPh>
    <phoneticPr fontId="1"/>
  </si>
  <si>
    <t>減速域[deg]</t>
    <rPh sb="0" eb="3">
      <t>ゲンソクイキ</t>
    </rPh>
    <phoneticPr fontId="1"/>
  </si>
  <si>
    <t>目標速度[m/s]</t>
    <rPh sb="0" eb="4">
      <t>モクヒョウソクド</t>
    </rPh>
    <phoneticPr fontId="1"/>
  </si>
  <si>
    <t>回転半径[m]</t>
    <rPh sb="0" eb="4">
      <t>カイテンハンケイ</t>
    </rPh>
    <phoneticPr fontId="1"/>
  </si>
  <si>
    <t>目標角速度[rad/s]</t>
    <rPh sb="0" eb="5">
      <t>モクヒョウカクソクド</t>
    </rPh>
    <phoneticPr fontId="1"/>
  </si>
  <si>
    <t>目標回転数[rps]</t>
    <rPh sb="0" eb="2">
      <t>モクヒョウ</t>
    </rPh>
    <rPh sb="2" eb="5">
      <t>カイテンスウ</t>
    </rPh>
    <phoneticPr fontId="1"/>
  </si>
  <si>
    <t>軸回転数[回]</t>
    <rPh sb="0" eb="1">
      <t>ジク</t>
    </rPh>
    <rPh sb="1" eb="4">
      <t>カイテンスウ</t>
    </rPh>
    <rPh sb="5" eb="6">
      <t>カイ</t>
    </rPh>
    <phoneticPr fontId="1"/>
  </si>
  <si>
    <t>けつ回転数[回]</t>
    <rPh sb="2" eb="5">
      <t>カイテンスウ</t>
    </rPh>
    <rPh sb="6" eb="7">
      <t>カイ</t>
    </rPh>
    <phoneticPr fontId="1"/>
  </si>
  <si>
    <t>角加速度[rad/s^2]</t>
    <rPh sb="0" eb="1">
      <t>カク</t>
    </rPh>
    <rPh sb="1" eb="4">
      <t>カソクド</t>
    </rPh>
    <phoneticPr fontId="1"/>
  </si>
  <si>
    <t>目標角[rad]</t>
    <rPh sb="0" eb="3">
      <t>モクヒョウカク</t>
    </rPh>
    <phoneticPr fontId="1"/>
  </si>
  <si>
    <t>到達時間[sec]</t>
    <rPh sb="0" eb="4">
      <t>トウタツジカン</t>
    </rPh>
    <phoneticPr fontId="1"/>
  </si>
  <si>
    <t>-----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</si>
</sst>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速度プロファイル!$D$1:$D$91</c:f>
              <c:numCache>
                <c:formatCode>General</c:formatCod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numCache>
            </c:numRef>
          </c:xVal>
          <c:yVal>
            <c:numRef>
              <c:f>速度プロファイル!$G$1:$G$91</c:f>
              <c:numCache>
                <c:formatCode>General</c:formatCode>
                <c:ptCount val="91"/>
                <c:pt idx="0">
                  <c:v>0</c:v>
                </c:pt>
                <c:pt idx="1">
                  <c:v>1.6808750000000001E-2</c:v>
                </c:pt>
                <c:pt idx="2">
                  <c:v>6.6670000000000007E-2</c:v>
                </c:pt>
                <c:pt idx="3">
                  <c:v>0.14873625000000001</c:v>
                </c:pt>
                <c:pt idx="4">
                  <c:v>0.26216</c:v>
                </c:pt>
                <c:pt idx="5">
                  <c:v>0.40609374999999998</c:v>
                </c:pt>
                <c:pt idx="6">
                  <c:v>0.57968999999999993</c:v>
                </c:pt>
                <c:pt idx="7">
                  <c:v>0.78210124999999975</c:v>
                </c:pt>
                <c:pt idx="8">
                  <c:v>1.01248</c:v>
                </c:pt>
                <c:pt idx="9">
                  <c:v>1.2699787499999999</c:v>
                </c:pt>
                <c:pt idx="10">
                  <c:v>1.55375</c:v>
                </c:pt>
                <c:pt idx="11">
                  <c:v>1.8629462500000002</c:v>
                </c:pt>
                <c:pt idx="12">
                  <c:v>2.19672</c:v>
                </c:pt>
                <c:pt idx="13">
                  <c:v>2.5542237500000002</c:v>
                </c:pt>
                <c:pt idx="14">
                  <c:v>2.9346099999999993</c:v>
                </c:pt>
                <c:pt idx="15">
                  <c:v>3.3370312499999999</c:v>
                </c:pt>
                <c:pt idx="16">
                  <c:v>3.7606400000000004</c:v>
                </c:pt>
                <c:pt idx="17">
                  <c:v>4.2045887500000001</c:v>
                </c:pt>
                <c:pt idx="18">
                  <c:v>4.6680299999999999</c:v>
                </c:pt>
                <c:pt idx="19">
                  <c:v>5.1501162499999982</c:v>
                </c:pt>
                <c:pt idx="20">
                  <c:v>5.6499999999999995</c:v>
                </c:pt>
                <c:pt idx="21">
                  <c:v>6.1668337499999994</c:v>
                </c:pt>
                <c:pt idx="22">
                  <c:v>6.6997700000000009</c:v>
                </c:pt>
                <c:pt idx="23">
                  <c:v>7.2479612499999986</c:v>
                </c:pt>
                <c:pt idx="24">
                  <c:v>7.8105600000000006</c:v>
                </c:pt>
                <c:pt idx="25">
                  <c:v>8.38671875</c:v>
                </c:pt>
                <c:pt idx="26">
                  <c:v>8.9755899999999986</c:v>
                </c:pt>
                <c:pt idx="27">
                  <c:v>9.576326250000001</c:v>
                </c:pt>
                <c:pt idx="28">
                  <c:v>10.188079999999998</c:v>
                </c:pt>
                <c:pt idx="29">
                  <c:v>10.81000375</c:v>
                </c:pt>
                <c:pt idx="30">
                  <c:v>11.441249999999998</c:v>
                </c:pt>
                <c:pt idx="31">
                  <c:v>12.080971250000003</c:v>
                </c:pt>
                <c:pt idx="32">
                  <c:v>12.728320000000002</c:v>
                </c:pt>
                <c:pt idx="33">
                  <c:v>13.382448749999996</c:v>
                </c:pt>
                <c:pt idx="34">
                  <c:v>14.042510000000002</c:v>
                </c:pt>
                <c:pt idx="35">
                  <c:v>14.707656249999999</c:v>
                </c:pt>
                <c:pt idx="36">
                  <c:v>15.377039999999999</c:v>
                </c:pt>
                <c:pt idx="37">
                  <c:v>16.049813750000002</c:v>
                </c:pt>
                <c:pt idx="38">
                  <c:v>16.725129999999993</c:v>
                </c:pt>
                <c:pt idx="39">
                  <c:v>17.402141249999996</c:v>
                </c:pt>
                <c:pt idx="40">
                  <c:v>18.079999999999998</c:v>
                </c:pt>
                <c:pt idx="41">
                  <c:v>18.757858749999997</c:v>
                </c:pt>
                <c:pt idx="42">
                  <c:v>19.434869999999997</c:v>
                </c:pt>
                <c:pt idx="43">
                  <c:v>20.110186249999998</c:v>
                </c:pt>
                <c:pt idx="44">
                  <c:v>20.782960000000003</c:v>
                </c:pt>
                <c:pt idx="45">
                  <c:v>21.452343749999997</c:v>
                </c:pt>
                <c:pt idx="46">
                  <c:v>22.11749</c:v>
                </c:pt>
                <c:pt idx="47">
                  <c:v>22.777551249999998</c:v>
                </c:pt>
                <c:pt idx="48">
                  <c:v>23.431680000000004</c:v>
                </c:pt>
                <c:pt idx="49">
                  <c:v>24.079028750000003</c:v>
                </c:pt>
                <c:pt idx="50">
                  <c:v>24.718749999999996</c:v>
                </c:pt>
                <c:pt idx="51">
                  <c:v>25.34999625</c:v>
                </c:pt>
                <c:pt idx="52">
                  <c:v>25.971919999999997</c:v>
                </c:pt>
                <c:pt idx="53">
                  <c:v>26.583673749999999</c:v>
                </c:pt>
                <c:pt idx="54">
                  <c:v>27.184410000000003</c:v>
                </c:pt>
                <c:pt idx="55">
                  <c:v>27.77328125</c:v>
                </c:pt>
                <c:pt idx="56">
                  <c:v>28.349439999999994</c:v>
                </c:pt>
                <c:pt idx="57">
                  <c:v>28.912038749999994</c:v>
                </c:pt>
                <c:pt idx="58">
                  <c:v>29.460229999999996</c:v>
                </c:pt>
                <c:pt idx="59">
                  <c:v>29.993166249999991</c:v>
                </c:pt>
                <c:pt idx="60">
                  <c:v>30.509999999999998</c:v>
                </c:pt>
                <c:pt idx="61">
                  <c:v>31.009883749999997</c:v>
                </c:pt>
                <c:pt idx="62">
                  <c:v>31.491970000000006</c:v>
                </c:pt>
                <c:pt idx="63">
                  <c:v>31.955411249999997</c:v>
                </c:pt>
                <c:pt idx="64">
                  <c:v>32.399360000000001</c:v>
                </c:pt>
                <c:pt idx="65">
                  <c:v>32.822968750000008</c:v>
                </c:pt>
                <c:pt idx="66">
                  <c:v>33.22538999999999</c:v>
                </c:pt>
                <c:pt idx="67">
                  <c:v>33.605776249999998</c:v>
                </c:pt>
                <c:pt idx="68">
                  <c:v>33.963280000000005</c:v>
                </c:pt>
                <c:pt idx="69">
                  <c:v>34.297053750000003</c:v>
                </c:pt>
                <c:pt idx="70">
                  <c:v>34.606249999999996</c:v>
                </c:pt>
                <c:pt idx="71">
                  <c:v>34.890021249999997</c:v>
                </c:pt>
                <c:pt idx="72">
                  <c:v>35.147519999999993</c:v>
                </c:pt>
                <c:pt idx="73">
                  <c:v>35.37789875</c:v>
                </c:pt>
                <c:pt idx="74">
                  <c:v>35.580310000000004</c:v>
                </c:pt>
                <c:pt idx="75">
                  <c:v>35.753906250000007</c:v>
                </c:pt>
                <c:pt idx="76">
                  <c:v>35.897839999999988</c:v>
                </c:pt>
                <c:pt idx="77">
                  <c:v>36.011263749999991</c:v>
                </c:pt>
                <c:pt idx="78">
                  <c:v>36.093329999999995</c:v>
                </c:pt>
                <c:pt idx="79">
                  <c:v>36.143191249999994</c:v>
                </c:pt>
                <c:pt idx="80">
                  <c:v>36.159999999999997</c:v>
                </c:pt>
                <c:pt idx="81">
                  <c:v>35.14752</c:v>
                </c:pt>
                <c:pt idx="82">
                  <c:v>31.49217792</c:v>
                </c:pt>
                <c:pt idx="83">
                  <c:v>24.689867489279997</c:v>
                </c:pt>
                <c:pt idx="84">
                  <c:v>15.999034133053437</c:v>
                </c:pt>
                <c:pt idx="85">
                  <c:v>7.9995170665267183</c:v>
                </c:pt>
                <c:pt idx="86">
                  <c:v>2.8158300074174036</c:v>
                </c:pt>
                <c:pt idx="87">
                  <c:v>0.60821928160215943</c:v>
                </c:pt>
                <c:pt idx="88">
                  <c:v>6.3254805286624527E-2</c:v>
                </c:pt>
                <c:pt idx="89">
                  <c:v>1.7711345480254867E-3</c:v>
                </c:pt>
                <c:pt idx="9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A-404B-B710-8AE158B90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213952"/>
        <c:axId val="959216832"/>
      </c:scatterChart>
      <c:valAx>
        <c:axId val="95921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9216832"/>
        <c:crosses val="autoZero"/>
        <c:crossBetween val="midCat"/>
      </c:valAx>
      <c:valAx>
        <c:axId val="95921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921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125730</xdr:colOff>
      <xdr:row>74</xdr:row>
      <xdr:rowOff>30480</xdr:rowOff>
    </xdr:from>
    <xdr:to>
      <xdr:col>18</xdr:col>
      <xdr:colOff>3810</xdr:colOff>
      <xdr:row>86</xdr:row>
      <xdr:rowOff>30480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2003A96-CB6F-1B3A-FBC3-53E37658B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B223-091B-4EE9-8B1D-094398B6A520}">
  <dimension ref="A1:I8"/>
  <sheetViews>
    <sheetView workbookViewId="0">
      <selection activeCell="B1" sqref="B1"/>
    </sheetView>
  </sheetViews>
  <sheetFormatPr defaultRowHeight="18.75" x14ac:dyDescent="0.4"/>
  <cols>
    <col min="1" max="1" width="16.625" bestFit="1" customWidth="1"/>
    <col min="2" max="3" width="13.75" customWidth="1"/>
    <col min="7" max="8" width="10.875" bestFit="1" customWidth="1"/>
    <col min="9" max="9" width="16.125" bestFit="1" customWidth="1"/>
  </cols>
  <sheetData>
    <row r="1" spans="1:9" x14ac:dyDescent="0.4">
      <c r="A1" t="s">
        <v>1</v>
      </c>
      <c r="B1">
        <v>9.0399999999999991</v>
      </c>
      <c r="E1" t="s">
        <v>7</v>
      </c>
      <c r="F1" t="s">
        <v>0</v>
      </c>
      <c r="G1" t="s">
        <v>2</v>
      </c>
      <c r="H1" t="s">
        <v>3</v>
      </c>
      <c r="I1" t="s">
        <v>6</v>
      </c>
    </row>
    <row r="2" spans="1:9" x14ac:dyDescent="0.4">
      <c r="A2" t="s">
        <v>4</v>
      </c>
      <c r="B2">
        <v>400</v>
      </c>
      <c r="D2">
        <v>0.15</v>
      </c>
      <c r="E2">
        <f>90*9.04^2/(91.2*PI()*D2^2)</f>
        <v>1140.9119822261957</v>
      </c>
      <c r="F2">
        <f t="shared" ref="F2:F8" si="0">$B$1/D2</f>
        <v>60.266666666666666</v>
      </c>
      <c r="G2">
        <f>F2/(2*PI())</f>
        <v>9.5917379036715591</v>
      </c>
      <c r="H2">
        <f>G2*60</f>
        <v>575.5042742202935</v>
      </c>
      <c r="I2">
        <f>$B$3/(E2*D2^2)</f>
        <v>0.11686557369059065</v>
      </c>
    </row>
    <row r="3" spans="1:9" x14ac:dyDescent="0.4">
      <c r="A3" t="s">
        <v>5</v>
      </c>
      <c r="B3">
        <v>3</v>
      </c>
      <c r="D3">
        <v>0.2</v>
      </c>
      <c r="E3">
        <f t="shared" ref="E3:E8" si="1">90*9.04^2/(91.2*PI()*D3^2)</f>
        <v>641.76299000223491</v>
      </c>
      <c r="F3">
        <f t="shared" si="0"/>
        <v>45.199999999999996</v>
      </c>
      <c r="G3">
        <f t="shared" ref="G3:G8" si="2">F3/(2*PI())</f>
        <v>7.1938034277536689</v>
      </c>
      <c r="H3">
        <f t="shared" ref="H3:H8" si="3">G3*60</f>
        <v>431.62820566522015</v>
      </c>
      <c r="I3">
        <f>$B$3/(E3*D3^2)</f>
        <v>0.11686557369059065</v>
      </c>
    </row>
    <row r="4" spans="1:9" x14ac:dyDescent="0.4">
      <c r="D4">
        <v>0.25</v>
      </c>
      <c r="E4">
        <f t="shared" si="1"/>
        <v>410.72831360143044</v>
      </c>
      <c r="F4">
        <f t="shared" si="0"/>
        <v>36.159999999999997</v>
      </c>
      <c r="G4">
        <f t="shared" si="2"/>
        <v>5.7550427422029351</v>
      </c>
      <c r="H4">
        <f t="shared" si="3"/>
        <v>345.30256453217612</v>
      </c>
      <c r="I4">
        <f>$B$3/(E4*D4^2)</f>
        <v>0.11686557369059065</v>
      </c>
    </row>
    <row r="5" spans="1:9" x14ac:dyDescent="0.4">
      <c r="D5">
        <v>0.3</v>
      </c>
      <c r="E5">
        <f t="shared" si="1"/>
        <v>285.22799555654893</v>
      </c>
      <c r="F5">
        <f t="shared" si="0"/>
        <v>30.133333333333333</v>
      </c>
      <c r="G5">
        <f t="shared" si="2"/>
        <v>4.7958689518357795</v>
      </c>
      <c r="H5">
        <f t="shared" si="3"/>
        <v>287.75213711014675</v>
      </c>
      <c r="I5">
        <f t="shared" ref="I5:I8" si="4">$B$3/(E5*D5^2)</f>
        <v>0.11686557369059065</v>
      </c>
    </row>
    <row r="6" spans="1:9" x14ac:dyDescent="0.4">
      <c r="D6">
        <v>0.35</v>
      </c>
      <c r="E6">
        <f t="shared" si="1"/>
        <v>209.55526204154617</v>
      </c>
      <c r="F6">
        <f t="shared" si="0"/>
        <v>25.828571428571429</v>
      </c>
      <c r="G6">
        <f t="shared" si="2"/>
        <v>4.1107448158592401</v>
      </c>
      <c r="H6">
        <f t="shared" si="3"/>
        <v>246.6446889515544</v>
      </c>
      <c r="I6">
        <f t="shared" si="4"/>
        <v>0.11686557369059065</v>
      </c>
    </row>
    <row r="7" spans="1:9" x14ac:dyDescent="0.4">
      <c r="D7">
        <v>0.4</v>
      </c>
      <c r="E7">
        <f t="shared" si="1"/>
        <v>160.44074750055873</v>
      </c>
      <c r="F7">
        <f t="shared" si="0"/>
        <v>22.599999999999998</v>
      </c>
      <c r="G7">
        <f t="shared" si="2"/>
        <v>3.5969017138768344</v>
      </c>
      <c r="H7">
        <f t="shared" si="3"/>
        <v>215.81410283261008</v>
      </c>
      <c r="I7">
        <f t="shared" si="4"/>
        <v>0.11686557369059065</v>
      </c>
    </row>
    <row r="8" spans="1:9" x14ac:dyDescent="0.4">
      <c r="D8">
        <v>0.45</v>
      </c>
      <c r="E8">
        <f t="shared" si="1"/>
        <v>126.76799802513284</v>
      </c>
      <c r="F8">
        <f t="shared" si="0"/>
        <v>20.088888888888885</v>
      </c>
      <c r="G8">
        <f t="shared" si="2"/>
        <v>3.197245967890519</v>
      </c>
      <c r="H8">
        <f t="shared" si="3"/>
        <v>191.83475807343115</v>
      </c>
      <c r="I8">
        <f t="shared" si="4"/>
        <v>0.11686557369059065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6E61-160E-449E-9424-549503A17018}">
  <dimension ref="A1:I900"/>
  <sheetViews>
    <sheetView tabSelected="1" workbookViewId="0"/>
  </sheetViews>
  <sheetFormatPr defaultRowHeight="18.75" x14ac:dyDescent="0.4"/>
  <cols>
    <col min="1" max="1" width="17" bestFit="1" customWidth="1"/>
  </cols>
  <sheetData>
    <row r="1" spans="1:9" x14ac:dyDescent="0.4">
      <c r="A1" t="s">
        <v>12</v>
      </c>
      <c r="B1">
        <v>9.0399999999999991</v>
      </c>
      <c r="D1">
        <v>0</v>
      </c>
      <c r="E1">
        <f>D1*PI()/180</f>
        <v>0</v>
      </c>
      <c r="F1">
        <f>9/4*E1/PI()</f>
        <v>0</v>
      </c>
      <c r="G1">
        <f>36.16*(3*F1^2-2*F1^3)</f>
        <v>0</v>
      </c>
      <c r="H1" cm="1">
        <f t="array" ref="H1:H900">INDEX(G1:G90, ROUNDUP(_xlfn.SEQUENCE(900)/10, 0))</f>
        <v>0</v>
      </c>
      <c r="I1" cm="1">
        <f t="array" ref="I1:I900">_xlfn.ANCHORARRAY(H1)*36</f>
        <v>0</v>
      </c>
    </row>
    <row r="2" spans="1:9" x14ac:dyDescent="0.4">
      <c r="A2" t="s">
        <v>13</v>
      </c>
      <c r="B2">
        <v>0.25</v>
      </c>
      <c r="D2">
        <v>1</v>
      </c>
      <c r="E2">
        <f>D2*PI()/180</f>
        <v>1.7453292519943295E-2</v>
      </c>
      <c r="F2">
        <f t="shared" ref="F2:F65" si="0">9/4*E2/PI()</f>
        <v>1.2500000000000001E-2</v>
      </c>
      <c r="G2">
        <f t="shared" ref="G2:G65" si="1">36.16*(3*F2^2-2*F2^3)</f>
        <v>1.6808750000000001E-2</v>
      </c>
      <c r="H2">
        <v>0</v>
      </c>
      <c r="I2">
        <v>0</v>
      </c>
    </row>
    <row r="3" spans="1:9" x14ac:dyDescent="0.4">
      <c r="A3" t="s">
        <v>14</v>
      </c>
      <c r="B3">
        <f>B1/B2</f>
        <v>36.159999999999997</v>
      </c>
      <c r="D3">
        <v>2</v>
      </c>
      <c r="E3">
        <f t="shared" ref="E2:E65" si="2">D3*PI()/180</f>
        <v>3.4906585039886591E-2</v>
      </c>
      <c r="F3">
        <f t="shared" si="0"/>
        <v>2.5000000000000001E-2</v>
      </c>
      <c r="G3">
        <f t="shared" si="1"/>
        <v>6.6670000000000007E-2</v>
      </c>
      <c r="H3">
        <v>0</v>
      </c>
      <c r="I3">
        <v>0</v>
      </c>
    </row>
    <row r="4" spans="1:9" x14ac:dyDescent="0.4">
      <c r="A4" t="s">
        <v>15</v>
      </c>
      <c r="B4">
        <f>B3/2/PI()</f>
        <v>5.7550427422029351</v>
      </c>
      <c r="D4">
        <v>3</v>
      </c>
      <c r="E4">
        <f t="shared" si="2"/>
        <v>5.2359877559829883E-2</v>
      </c>
      <c r="F4">
        <f t="shared" si="0"/>
        <v>3.7499999999999999E-2</v>
      </c>
      <c r="G4">
        <f t="shared" si="1"/>
        <v>0.14873625000000001</v>
      </c>
      <c r="H4">
        <v>0</v>
      </c>
      <c r="I4">
        <v>0</v>
      </c>
    </row>
    <row r="5" spans="1:9" x14ac:dyDescent="0.4">
      <c r="A5" t="s">
        <v>8</v>
      </c>
      <c r="B5">
        <v>90</v>
      </c>
      <c r="D5">
        <v>4</v>
      </c>
      <c r="E5">
        <f t="shared" si="2"/>
        <v>6.9813170079773182E-2</v>
      </c>
      <c r="F5">
        <f t="shared" si="0"/>
        <v>0.05</v>
      </c>
      <c r="G5">
        <f t="shared" si="1"/>
        <v>0.26216</v>
      </c>
      <c r="H5">
        <v>0</v>
      </c>
      <c r="I5">
        <v>0</v>
      </c>
    </row>
    <row r="6" spans="1:9" x14ac:dyDescent="0.4">
      <c r="A6" t="s">
        <v>19</v>
      </c>
      <c r="B6">
        <f>B5*PI()/180</f>
        <v>1.5707963267948966</v>
      </c>
      <c r="D6">
        <v>5</v>
      </c>
      <c r="E6">
        <f t="shared" si="2"/>
        <v>8.7266462599716474E-2</v>
      </c>
      <c r="F6">
        <f t="shared" si="0"/>
        <v>6.25E-2</v>
      </c>
      <c r="G6">
        <f t="shared" si="1"/>
        <v>0.40609374999999998</v>
      </c>
      <c r="H6">
        <v>0</v>
      </c>
      <c r="I6">
        <v>0</v>
      </c>
    </row>
    <row r="7" spans="1:9" x14ac:dyDescent="0.4">
      <c r="A7" t="s">
        <v>16</v>
      </c>
      <c r="B7">
        <f>B5/360</f>
        <v>0.25</v>
      </c>
      <c r="D7">
        <v>6</v>
      </c>
      <c r="E7">
        <f t="shared" si="2"/>
        <v>0.10471975511965977</v>
      </c>
      <c r="F7">
        <f t="shared" si="0"/>
        <v>7.4999999999999997E-2</v>
      </c>
      <c r="G7">
        <f t="shared" si="1"/>
        <v>0.57968999999999993</v>
      </c>
      <c r="H7">
        <v>0</v>
      </c>
      <c r="I7">
        <v>0</v>
      </c>
    </row>
    <row r="8" spans="1:9" x14ac:dyDescent="0.4">
      <c r="A8" t="s">
        <v>17</v>
      </c>
      <c r="B8">
        <f>B7*19</f>
        <v>4.75</v>
      </c>
      <c r="D8">
        <v>7</v>
      </c>
      <c r="E8">
        <f t="shared" si="2"/>
        <v>0.12217304763960307</v>
      </c>
      <c r="F8">
        <f t="shared" si="0"/>
        <v>8.7499999999999994E-2</v>
      </c>
      <c r="G8">
        <f t="shared" si="1"/>
        <v>0.78210124999999975</v>
      </c>
      <c r="H8">
        <v>0</v>
      </c>
      <c r="I8">
        <v>0</v>
      </c>
    </row>
    <row r="9" spans="1:9" x14ac:dyDescent="0.4">
      <c r="A9" t="s">
        <v>9</v>
      </c>
      <c r="B9">
        <v>80</v>
      </c>
      <c r="D9">
        <v>8</v>
      </c>
      <c r="E9">
        <f t="shared" si="2"/>
        <v>0.13962634015954636</v>
      </c>
      <c r="F9">
        <f t="shared" si="0"/>
        <v>0.1</v>
      </c>
      <c r="G9">
        <f t="shared" si="1"/>
        <v>1.01248</v>
      </c>
      <c r="H9">
        <v>0</v>
      </c>
      <c r="I9">
        <v>0</v>
      </c>
    </row>
    <row r="10" spans="1:9" x14ac:dyDescent="0.4">
      <c r="A10" t="s">
        <v>10</v>
      </c>
      <c r="B10">
        <f>B9</f>
        <v>80</v>
      </c>
      <c r="D10">
        <v>9</v>
      </c>
      <c r="E10">
        <f t="shared" si="2"/>
        <v>0.15707963267948966</v>
      </c>
      <c r="F10">
        <f t="shared" si="0"/>
        <v>0.1125</v>
      </c>
      <c r="G10">
        <f t="shared" si="1"/>
        <v>1.2699787499999999</v>
      </c>
      <c r="H10">
        <v>0</v>
      </c>
      <c r="I10">
        <v>0</v>
      </c>
    </row>
    <row r="11" spans="1:9" x14ac:dyDescent="0.4">
      <c r="A11" t="s">
        <v>11</v>
      </c>
      <c r="B11">
        <f>B5-B9</f>
        <v>10</v>
      </c>
      <c r="D11">
        <v>10</v>
      </c>
      <c r="E11">
        <f t="shared" si="2"/>
        <v>0.17453292519943295</v>
      </c>
      <c r="F11">
        <f t="shared" si="0"/>
        <v>0.125</v>
      </c>
      <c r="G11">
        <f t="shared" si="1"/>
        <v>1.55375</v>
      </c>
      <c r="H11">
        <v>1.6808750000000001E-2</v>
      </c>
      <c r="I11">
        <v>0.60511500000000007</v>
      </c>
    </row>
    <row r="12" spans="1:9" x14ac:dyDescent="0.4">
      <c r="A12" t="s">
        <v>18</v>
      </c>
      <c r="B12">
        <f>B3^2/B6/2</f>
        <v>416.20469111611618</v>
      </c>
      <c r="D12">
        <v>11</v>
      </c>
      <c r="E12">
        <f t="shared" si="2"/>
        <v>0.19198621771937624</v>
      </c>
      <c r="F12">
        <f t="shared" si="0"/>
        <v>0.13750000000000001</v>
      </c>
      <c r="G12">
        <f t="shared" si="1"/>
        <v>1.8629462500000002</v>
      </c>
      <c r="H12">
        <v>1.6808750000000001E-2</v>
      </c>
      <c r="I12">
        <v>0.60511500000000007</v>
      </c>
    </row>
    <row r="13" spans="1:9" x14ac:dyDescent="0.4">
      <c r="A13" t="s">
        <v>20</v>
      </c>
      <c r="B13">
        <f>2*B6/B3</f>
        <v>8.6880327809452249E-2</v>
      </c>
      <c r="D13">
        <v>12</v>
      </c>
      <c r="E13">
        <f t="shared" si="2"/>
        <v>0.20943951023931953</v>
      </c>
      <c r="F13">
        <f t="shared" si="0"/>
        <v>0.15</v>
      </c>
      <c r="G13">
        <f t="shared" si="1"/>
        <v>2.19672</v>
      </c>
      <c r="H13">
        <v>1.6808750000000001E-2</v>
      </c>
      <c r="I13">
        <v>0.60511500000000007</v>
      </c>
    </row>
    <row r="14" spans="1:9" x14ac:dyDescent="0.4">
      <c r="D14">
        <v>13</v>
      </c>
      <c r="E14">
        <f t="shared" si="2"/>
        <v>0.22689280275926285</v>
      </c>
      <c r="F14">
        <f t="shared" si="0"/>
        <v>0.16250000000000001</v>
      </c>
      <c r="G14">
        <f t="shared" si="1"/>
        <v>2.5542237500000002</v>
      </c>
      <c r="H14">
        <v>1.6808750000000001E-2</v>
      </c>
      <c r="I14">
        <v>0.60511500000000007</v>
      </c>
    </row>
    <row r="15" spans="1:9" x14ac:dyDescent="0.4">
      <c r="D15">
        <v>14</v>
      </c>
      <c r="E15">
        <f t="shared" si="2"/>
        <v>0.24434609527920614</v>
      </c>
      <c r="F15">
        <f t="shared" si="0"/>
        <v>0.17499999999999999</v>
      </c>
      <c r="G15">
        <f t="shared" si="1"/>
        <v>2.9346099999999993</v>
      </c>
      <c r="H15">
        <v>1.6808750000000001E-2</v>
      </c>
      <c r="I15">
        <v>0.60511500000000007</v>
      </c>
    </row>
    <row r="16" spans="1:9" x14ac:dyDescent="0.4">
      <c r="D16">
        <v>15</v>
      </c>
      <c r="E16">
        <f t="shared" si="2"/>
        <v>0.26179938779914941</v>
      </c>
      <c r="F16">
        <f t="shared" si="0"/>
        <v>0.1875</v>
      </c>
      <c r="G16">
        <f t="shared" si="1"/>
        <v>3.3370312499999999</v>
      </c>
      <c r="H16">
        <v>1.6808750000000001E-2</v>
      </c>
      <c r="I16">
        <v>0.60511500000000007</v>
      </c>
    </row>
    <row r="17" spans="4:9" x14ac:dyDescent="0.4">
      <c r="D17">
        <v>16</v>
      </c>
      <c r="E17">
        <f t="shared" si="2"/>
        <v>0.27925268031909273</v>
      </c>
      <c r="F17">
        <f t="shared" si="0"/>
        <v>0.2</v>
      </c>
      <c r="G17">
        <f t="shared" si="1"/>
        <v>3.7606400000000004</v>
      </c>
      <c r="H17">
        <v>1.6808750000000001E-2</v>
      </c>
      <c r="I17">
        <v>0.60511500000000007</v>
      </c>
    </row>
    <row r="18" spans="4:9" x14ac:dyDescent="0.4">
      <c r="D18">
        <v>17</v>
      </c>
      <c r="E18">
        <f t="shared" si="2"/>
        <v>0.29670597283903605</v>
      </c>
      <c r="F18">
        <f t="shared" si="0"/>
        <v>0.21250000000000002</v>
      </c>
      <c r="G18">
        <f t="shared" si="1"/>
        <v>4.2045887500000001</v>
      </c>
      <c r="H18">
        <v>1.6808750000000001E-2</v>
      </c>
      <c r="I18">
        <v>0.60511500000000007</v>
      </c>
    </row>
    <row r="19" spans="4:9" x14ac:dyDescent="0.4">
      <c r="D19">
        <v>18</v>
      </c>
      <c r="E19">
        <f t="shared" si="2"/>
        <v>0.31415926535897931</v>
      </c>
      <c r="F19">
        <f t="shared" si="0"/>
        <v>0.22500000000000001</v>
      </c>
      <c r="G19">
        <f t="shared" si="1"/>
        <v>4.6680299999999999</v>
      </c>
      <c r="H19">
        <v>1.6808750000000001E-2</v>
      </c>
      <c r="I19">
        <v>0.60511500000000007</v>
      </c>
    </row>
    <row r="20" spans="4:9" x14ac:dyDescent="0.4">
      <c r="D20">
        <v>19</v>
      </c>
      <c r="E20">
        <f t="shared" si="2"/>
        <v>0.33161255787892258</v>
      </c>
      <c r="F20">
        <f t="shared" si="0"/>
        <v>0.23749999999999996</v>
      </c>
      <c r="G20">
        <f t="shared" si="1"/>
        <v>5.1501162499999982</v>
      </c>
      <c r="H20">
        <v>1.6808750000000001E-2</v>
      </c>
      <c r="I20">
        <v>0.60511500000000007</v>
      </c>
    </row>
    <row r="21" spans="4:9" x14ac:dyDescent="0.4">
      <c r="D21">
        <v>20</v>
      </c>
      <c r="E21">
        <f t="shared" si="2"/>
        <v>0.3490658503988659</v>
      </c>
      <c r="F21">
        <f t="shared" si="0"/>
        <v>0.25</v>
      </c>
      <c r="G21">
        <f t="shared" si="1"/>
        <v>5.6499999999999995</v>
      </c>
      <c r="H21">
        <v>6.6670000000000007E-2</v>
      </c>
      <c r="I21">
        <v>2.4001200000000003</v>
      </c>
    </row>
    <row r="22" spans="4:9" x14ac:dyDescent="0.4">
      <c r="D22">
        <v>21</v>
      </c>
      <c r="E22">
        <f t="shared" si="2"/>
        <v>0.36651914291880922</v>
      </c>
      <c r="F22">
        <f t="shared" si="0"/>
        <v>0.26250000000000001</v>
      </c>
      <c r="G22">
        <f t="shared" si="1"/>
        <v>6.1668337499999994</v>
      </c>
      <c r="H22">
        <v>6.6670000000000007E-2</v>
      </c>
      <c r="I22">
        <v>2.4001200000000003</v>
      </c>
    </row>
    <row r="23" spans="4:9" x14ac:dyDescent="0.4">
      <c r="D23">
        <v>22</v>
      </c>
      <c r="E23">
        <f t="shared" si="2"/>
        <v>0.38397243543875248</v>
      </c>
      <c r="F23">
        <f t="shared" si="0"/>
        <v>0.27500000000000002</v>
      </c>
      <c r="G23">
        <f t="shared" si="1"/>
        <v>6.6997700000000009</v>
      </c>
      <c r="H23">
        <v>6.6670000000000007E-2</v>
      </c>
      <c r="I23">
        <v>2.4001200000000003</v>
      </c>
    </row>
    <row r="24" spans="4:9" x14ac:dyDescent="0.4">
      <c r="D24">
        <v>23</v>
      </c>
      <c r="E24">
        <f t="shared" si="2"/>
        <v>0.40142572795869574</v>
      </c>
      <c r="F24">
        <f t="shared" si="0"/>
        <v>0.28749999999999998</v>
      </c>
      <c r="G24">
        <f t="shared" si="1"/>
        <v>7.2479612499999986</v>
      </c>
      <c r="H24">
        <v>6.6670000000000007E-2</v>
      </c>
      <c r="I24">
        <v>2.4001200000000003</v>
      </c>
    </row>
    <row r="25" spans="4:9" x14ac:dyDescent="0.4">
      <c r="D25">
        <v>24</v>
      </c>
      <c r="E25">
        <f t="shared" si="2"/>
        <v>0.41887902047863906</v>
      </c>
      <c r="F25">
        <f t="shared" si="0"/>
        <v>0.3</v>
      </c>
      <c r="G25">
        <f t="shared" si="1"/>
        <v>7.8105600000000006</v>
      </c>
      <c r="H25">
        <v>6.6670000000000007E-2</v>
      </c>
      <c r="I25">
        <v>2.4001200000000003</v>
      </c>
    </row>
    <row r="26" spans="4:9" x14ac:dyDescent="0.4">
      <c r="D26">
        <v>25</v>
      </c>
      <c r="E26">
        <f t="shared" si="2"/>
        <v>0.43633231299858238</v>
      </c>
      <c r="F26">
        <f t="shared" si="0"/>
        <v>0.3125</v>
      </c>
      <c r="G26">
        <f t="shared" si="1"/>
        <v>8.38671875</v>
      </c>
      <c r="H26">
        <v>6.6670000000000007E-2</v>
      </c>
      <c r="I26">
        <v>2.4001200000000003</v>
      </c>
    </row>
    <row r="27" spans="4:9" x14ac:dyDescent="0.4">
      <c r="D27">
        <v>26</v>
      </c>
      <c r="E27">
        <f t="shared" si="2"/>
        <v>0.4537856055185257</v>
      </c>
      <c r="F27">
        <f t="shared" si="0"/>
        <v>0.32500000000000001</v>
      </c>
      <c r="G27">
        <f t="shared" si="1"/>
        <v>8.9755899999999986</v>
      </c>
      <c r="H27">
        <v>6.6670000000000007E-2</v>
      </c>
      <c r="I27">
        <v>2.4001200000000003</v>
      </c>
    </row>
    <row r="28" spans="4:9" x14ac:dyDescent="0.4">
      <c r="D28">
        <v>27</v>
      </c>
      <c r="E28">
        <f t="shared" si="2"/>
        <v>0.47123889803846897</v>
      </c>
      <c r="F28">
        <f t="shared" si="0"/>
        <v>0.33750000000000002</v>
      </c>
      <c r="G28">
        <f t="shared" si="1"/>
        <v>9.576326250000001</v>
      </c>
      <c r="H28">
        <v>6.6670000000000007E-2</v>
      </c>
      <c r="I28">
        <v>2.4001200000000003</v>
      </c>
    </row>
    <row r="29" spans="4:9" x14ac:dyDescent="0.4">
      <c r="D29">
        <v>28</v>
      </c>
      <c r="E29">
        <f t="shared" si="2"/>
        <v>0.48869219055841229</v>
      </c>
      <c r="F29">
        <f t="shared" si="0"/>
        <v>0.35</v>
      </c>
      <c r="G29">
        <f t="shared" si="1"/>
        <v>10.188079999999998</v>
      </c>
      <c r="H29">
        <v>6.6670000000000007E-2</v>
      </c>
      <c r="I29">
        <v>2.4001200000000003</v>
      </c>
    </row>
    <row r="30" spans="4:9" x14ac:dyDescent="0.4">
      <c r="D30">
        <v>29</v>
      </c>
      <c r="E30">
        <f t="shared" si="2"/>
        <v>0.50614548307835561</v>
      </c>
      <c r="F30">
        <f t="shared" si="0"/>
        <v>0.36250000000000004</v>
      </c>
      <c r="G30">
        <f t="shared" si="1"/>
        <v>10.81000375</v>
      </c>
      <c r="H30">
        <v>6.6670000000000007E-2</v>
      </c>
      <c r="I30">
        <v>2.4001200000000003</v>
      </c>
    </row>
    <row r="31" spans="4:9" x14ac:dyDescent="0.4">
      <c r="D31">
        <v>30</v>
      </c>
      <c r="E31">
        <f t="shared" si="2"/>
        <v>0.52359877559829882</v>
      </c>
      <c r="F31">
        <f t="shared" si="0"/>
        <v>0.375</v>
      </c>
      <c r="G31">
        <f t="shared" si="1"/>
        <v>11.441249999999998</v>
      </c>
      <c r="H31">
        <v>0.14873625000000001</v>
      </c>
      <c r="I31">
        <v>5.3545050000000005</v>
      </c>
    </row>
    <row r="32" spans="4:9" x14ac:dyDescent="0.4">
      <c r="D32">
        <v>31</v>
      </c>
      <c r="E32">
        <f t="shared" si="2"/>
        <v>0.54105206811824214</v>
      </c>
      <c r="F32">
        <f t="shared" si="0"/>
        <v>0.38750000000000001</v>
      </c>
      <c r="G32">
        <f t="shared" si="1"/>
        <v>12.080971250000003</v>
      </c>
      <c r="H32">
        <v>0.14873625000000001</v>
      </c>
      <c r="I32">
        <v>5.3545050000000005</v>
      </c>
    </row>
    <row r="33" spans="4:9" x14ac:dyDescent="0.4">
      <c r="D33">
        <v>32</v>
      </c>
      <c r="E33">
        <f t="shared" si="2"/>
        <v>0.55850536063818546</v>
      </c>
      <c r="F33">
        <f t="shared" si="0"/>
        <v>0.4</v>
      </c>
      <c r="G33">
        <f t="shared" si="1"/>
        <v>12.728320000000002</v>
      </c>
      <c r="H33">
        <v>0.14873625000000001</v>
      </c>
      <c r="I33">
        <v>5.3545050000000005</v>
      </c>
    </row>
    <row r="34" spans="4:9" x14ac:dyDescent="0.4">
      <c r="D34">
        <v>33</v>
      </c>
      <c r="E34">
        <f t="shared" si="2"/>
        <v>0.57595865315812877</v>
      </c>
      <c r="F34">
        <f t="shared" si="0"/>
        <v>0.41249999999999998</v>
      </c>
      <c r="G34">
        <f t="shared" si="1"/>
        <v>13.382448749999996</v>
      </c>
      <c r="H34">
        <v>0.14873625000000001</v>
      </c>
      <c r="I34">
        <v>5.3545050000000005</v>
      </c>
    </row>
    <row r="35" spans="4:9" x14ac:dyDescent="0.4">
      <c r="D35">
        <v>34</v>
      </c>
      <c r="E35">
        <f t="shared" si="2"/>
        <v>0.59341194567807209</v>
      </c>
      <c r="F35">
        <f t="shared" si="0"/>
        <v>0.42500000000000004</v>
      </c>
      <c r="G35">
        <f t="shared" si="1"/>
        <v>14.042510000000002</v>
      </c>
      <c r="H35">
        <v>0.14873625000000001</v>
      </c>
      <c r="I35">
        <v>5.3545050000000005</v>
      </c>
    </row>
    <row r="36" spans="4:9" x14ac:dyDescent="0.4">
      <c r="D36">
        <v>35</v>
      </c>
      <c r="E36">
        <f t="shared" si="2"/>
        <v>0.6108652381980153</v>
      </c>
      <c r="F36">
        <f t="shared" si="0"/>
        <v>0.4375</v>
      </c>
      <c r="G36">
        <f t="shared" si="1"/>
        <v>14.707656249999999</v>
      </c>
      <c r="H36">
        <v>0.14873625000000001</v>
      </c>
      <c r="I36">
        <v>5.3545050000000005</v>
      </c>
    </row>
    <row r="37" spans="4:9" x14ac:dyDescent="0.4">
      <c r="D37">
        <v>36</v>
      </c>
      <c r="E37">
        <f t="shared" si="2"/>
        <v>0.62831853071795862</v>
      </c>
      <c r="F37">
        <f t="shared" si="0"/>
        <v>0.45</v>
      </c>
      <c r="G37">
        <f t="shared" si="1"/>
        <v>15.377039999999999</v>
      </c>
      <c r="H37">
        <v>0.14873625000000001</v>
      </c>
      <c r="I37">
        <v>5.3545050000000005</v>
      </c>
    </row>
    <row r="38" spans="4:9" x14ac:dyDescent="0.4">
      <c r="D38">
        <v>37</v>
      </c>
      <c r="E38">
        <f t="shared" si="2"/>
        <v>0.64577182323790194</v>
      </c>
      <c r="F38">
        <f t="shared" si="0"/>
        <v>0.46250000000000002</v>
      </c>
      <c r="G38">
        <f t="shared" si="1"/>
        <v>16.049813750000002</v>
      </c>
      <c r="H38">
        <v>0.14873625000000001</v>
      </c>
      <c r="I38">
        <v>5.3545050000000005</v>
      </c>
    </row>
    <row r="39" spans="4:9" x14ac:dyDescent="0.4">
      <c r="D39">
        <v>38</v>
      </c>
      <c r="E39">
        <f t="shared" si="2"/>
        <v>0.66322511575784515</v>
      </c>
      <c r="F39">
        <f t="shared" si="0"/>
        <v>0.47499999999999992</v>
      </c>
      <c r="G39">
        <f t="shared" si="1"/>
        <v>16.725129999999993</v>
      </c>
      <c r="H39">
        <v>0.14873625000000001</v>
      </c>
      <c r="I39">
        <v>5.3545050000000005</v>
      </c>
    </row>
    <row r="40" spans="4:9" x14ac:dyDescent="0.4">
      <c r="D40">
        <v>39</v>
      </c>
      <c r="E40">
        <f t="shared" si="2"/>
        <v>0.68067840827778847</v>
      </c>
      <c r="F40">
        <f t="shared" si="0"/>
        <v>0.48749999999999999</v>
      </c>
      <c r="G40">
        <f t="shared" si="1"/>
        <v>17.402141249999996</v>
      </c>
      <c r="H40">
        <v>0.14873625000000001</v>
      </c>
      <c r="I40">
        <v>5.3545050000000005</v>
      </c>
    </row>
    <row r="41" spans="4:9" x14ac:dyDescent="0.4">
      <c r="D41">
        <v>40</v>
      </c>
      <c r="E41">
        <f t="shared" si="2"/>
        <v>0.69813170079773179</v>
      </c>
      <c r="F41">
        <f t="shared" si="0"/>
        <v>0.5</v>
      </c>
      <c r="G41">
        <f t="shared" si="1"/>
        <v>18.079999999999998</v>
      </c>
      <c r="H41">
        <v>0.26216</v>
      </c>
      <c r="I41">
        <v>9.4377600000000008</v>
      </c>
    </row>
    <row r="42" spans="4:9" x14ac:dyDescent="0.4">
      <c r="D42">
        <v>41</v>
      </c>
      <c r="E42">
        <f t="shared" si="2"/>
        <v>0.715584993317675</v>
      </c>
      <c r="F42">
        <f t="shared" si="0"/>
        <v>0.51249999999999996</v>
      </c>
      <c r="G42">
        <f t="shared" si="1"/>
        <v>18.757858749999997</v>
      </c>
      <c r="H42">
        <v>0.26216</v>
      </c>
      <c r="I42">
        <v>9.4377600000000008</v>
      </c>
    </row>
    <row r="43" spans="4:9" x14ac:dyDescent="0.4">
      <c r="D43">
        <v>42</v>
      </c>
      <c r="E43">
        <f t="shared" si="2"/>
        <v>0.73303828583761843</v>
      </c>
      <c r="F43">
        <f t="shared" si="0"/>
        <v>0.52500000000000002</v>
      </c>
      <c r="G43">
        <f t="shared" si="1"/>
        <v>19.434869999999997</v>
      </c>
      <c r="H43">
        <v>0.26216</v>
      </c>
      <c r="I43">
        <v>9.4377600000000008</v>
      </c>
    </row>
    <row r="44" spans="4:9" x14ac:dyDescent="0.4">
      <c r="D44">
        <v>43</v>
      </c>
      <c r="E44">
        <f t="shared" si="2"/>
        <v>0.75049157835756164</v>
      </c>
      <c r="F44">
        <f t="shared" si="0"/>
        <v>0.53749999999999998</v>
      </c>
      <c r="G44">
        <f t="shared" si="1"/>
        <v>20.110186249999998</v>
      </c>
      <c r="H44">
        <v>0.26216</v>
      </c>
      <c r="I44">
        <v>9.4377600000000008</v>
      </c>
    </row>
    <row r="45" spans="4:9" x14ac:dyDescent="0.4">
      <c r="D45">
        <v>44</v>
      </c>
      <c r="E45">
        <f t="shared" si="2"/>
        <v>0.76794487087750496</v>
      </c>
      <c r="F45">
        <f t="shared" si="0"/>
        <v>0.55000000000000004</v>
      </c>
      <c r="G45">
        <f t="shared" si="1"/>
        <v>20.782960000000003</v>
      </c>
      <c r="H45">
        <v>0.26216</v>
      </c>
      <c r="I45">
        <v>9.4377600000000008</v>
      </c>
    </row>
    <row r="46" spans="4:9" x14ac:dyDescent="0.4">
      <c r="D46">
        <v>45</v>
      </c>
      <c r="E46">
        <f t="shared" si="2"/>
        <v>0.78539816339744828</v>
      </c>
      <c r="F46">
        <f t="shared" si="0"/>
        <v>0.5625</v>
      </c>
      <c r="G46">
        <f t="shared" si="1"/>
        <v>21.452343749999997</v>
      </c>
      <c r="H46">
        <v>0.26216</v>
      </c>
      <c r="I46">
        <v>9.4377600000000008</v>
      </c>
    </row>
    <row r="47" spans="4:9" x14ac:dyDescent="0.4">
      <c r="D47">
        <v>46</v>
      </c>
      <c r="E47">
        <f t="shared" si="2"/>
        <v>0.80285145591739149</v>
      </c>
      <c r="F47">
        <f t="shared" si="0"/>
        <v>0.57499999999999996</v>
      </c>
      <c r="G47">
        <f t="shared" si="1"/>
        <v>22.11749</v>
      </c>
      <c r="H47">
        <v>0.26216</v>
      </c>
      <c r="I47">
        <v>9.4377600000000008</v>
      </c>
    </row>
    <row r="48" spans="4:9" x14ac:dyDescent="0.4">
      <c r="D48">
        <v>47</v>
      </c>
      <c r="E48">
        <f t="shared" si="2"/>
        <v>0.82030474843733492</v>
      </c>
      <c r="F48">
        <f t="shared" si="0"/>
        <v>0.58750000000000002</v>
      </c>
      <c r="G48">
        <f t="shared" si="1"/>
        <v>22.777551249999998</v>
      </c>
      <c r="H48">
        <v>0.26216</v>
      </c>
      <c r="I48">
        <v>9.4377600000000008</v>
      </c>
    </row>
    <row r="49" spans="4:9" x14ac:dyDescent="0.4">
      <c r="D49">
        <v>48</v>
      </c>
      <c r="E49">
        <f t="shared" si="2"/>
        <v>0.83775804095727813</v>
      </c>
      <c r="F49">
        <f t="shared" si="0"/>
        <v>0.6</v>
      </c>
      <c r="G49">
        <f t="shared" si="1"/>
        <v>23.431680000000004</v>
      </c>
      <c r="H49">
        <v>0.26216</v>
      </c>
      <c r="I49">
        <v>9.4377600000000008</v>
      </c>
    </row>
    <row r="50" spans="4:9" x14ac:dyDescent="0.4">
      <c r="D50">
        <v>49</v>
      </c>
      <c r="E50">
        <f t="shared" si="2"/>
        <v>0.85521133347722145</v>
      </c>
      <c r="F50">
        <f t="shared" si="0"/>
        <v>0.61250000000000004</v>
      </c>
      <c r="G50">
        <f t="shared" si="1"/>
        <v>24.079028750000003</v>
      </c>
      <c r="H50">
        <v>0.26216</v>
      </c>
      <c r="I50">
        <v>9.4377600000000008</v>
      </c>
    </row>
    <row r="51" spans="4:9" x14ac:dyDescent="0.4">
      <c r="D51">
        <v>50</v>
      </c>
      <c r="E51">
        <f t="shared" si="2"/>
        <v>0.87266462599716477</v>
      </c>
      <c r="F51">
        <f t="shared" si="0"/>
        <v>0.625</v>
      </c>
      <c r="G51">
        <f t="shared" si="1"/>
        <v>24.718749999999996</v>
      </c>
      <c r="H51">
        <v>0.40609374999999998</v>
      </c>
      <c r="I51">
        <v>14.619375</v>
      </c>
    </row>
    <row r="52" spans="4:9" x14ac:dyDescent="0.4">
      <c r="D52">
        <v>51</v>
      </c>
      <c r="E52">
        <f t="shared" si="2"/>
        <v>0.89011791851710798</v>
      </c>
      <c r="F52">
        <f t="shared" si="0"/>
        <v>0.63749999999999996</v>
      </c>
      <c r="G52">
        <f t="shared" si="1"/>
        <v>25.34999625</v>
      </c>
      <c r="H52">
        <v>0.40609374999999998</v>
      </c>
      <c r="I52">
        <v>14.619375</v>
      </c>
    </row>
    <row r="53" spans="4:9" x14ac:dyDescent="0.4">
      <c r="D53">
        <v>52</v>
      </c>
      <c r="E53">
        <f>D53*PI()/180</f>
        <v>0.90757121103705141</v>
      </c>
      <c r="F53">
        <f t="shared" si="0"/>
        <v>0.65</v>
      </c>
      <c r="G53">
        <f t="shared" si="1"/>
        <v>25.971919999999997</v>
      </c>
      <c r="H53">
        <v>0.40609374999999998</v>
      </c>
      <c r="I53">
        <v>14.619375</v>
      </c>
    </row>
    <row r="54" spans="4:9" x14ac:dyDescent="0.4">
      <c r="D54">
        <v>53</v>
      </c>
      <c r="E54">
        <f>D54*PI()/180</f>
        <v>0.92502450355699462</v>
      </c>
      <c r="F54">
        <f t="shared" si="0"/>
        <v>0.66249999999999998</v>
      </c>
      <c r="G54">
        <f t="shared" si="1"/>
        <v>26.583673749999999</v>
      </c>
      <c r="H54">
        <v>0.40609374999999998</v>
      </c>
      <c r="I54">
        <v>14.619375</v>
      </c>
    </row>
    <row r="55" spans="4:9" x14ac:dyDescent="0.4">
      <c r="D55">
        <v>54</v>
      </c>
      <c r="E55">
        <f t="shared" si="2"/>
        <v>0.94247779607693793</v>
      </c>
      <c r="F55">
        <f t="shared" si="0"/>
        <v>0.67500000000000004</v>
      </c>
      <c r="G55">
        <f t="shared" si="1"/>
        <v>27.184410000000003</v>
      </c>
      <c r="H55">
        <v>0.40609374999999998</v>
      </c>
      <c r="I55">
        <v>14.619375</v>
      </c>
    </row>
    <row r="56" spans="4:9" x14ac:dyDescent="0.4">
      <c r="D56">
        <v>55</v>
      </c>
      <c r="E56">
        <f t="shared" si="2"/>
        <v>0.95993108859688125</v>
      </c>
      <c r="F56">
        <f t="shared" si="0"/>
        <v>0.68750000000000011</v>
      </c>
      <c r="G56">
        <f t="shared" si="1"/>
        <v>27.77328125</v>
      </c>
      <c r="H56">
        <v>0.40609374999999998</v>
      </c>
      <c r="I56">
        <v>14.619375</v>
      </c>
    </row>
    <row r="57" spans="4:9" x14ac:dyDescent="0.4">
      <c r="D57">
        <v>56</v>
      </c>
      <c r="E57">
        <f t="shared" si="2"/>
        <v>0.97738438111682457</v>
      </c>
      <c r="F57">
        <f t="shared" si="0"/>
        <v>0.7</v>
      </c>
      <c r="G57">
        <f t="shared" si="1"/>
        <v>28.349439999999994</v>
      </c>
      <c r="H57">
        <v>0.40609374999999998</v>
      </c>
      <c r="I57">
        <v>14.619375</v>
      </c>
    </row>
    <row r="58" spans="4:9" x14ac:dyDescent="0.4">
      <c r="D58">
        <v>57</v>
      </c>
      <c r="E58">
        <f t="shared" si="2"/>
        <v>0.99483767363676778</v>
      </c>
      <c r="F58">
        <f t="shared" si="0"/>
        <v>0.71249999999999991</v>
      </c>
      <c r="G58">
        <f t="shared" si="1"/>
        <v>28.912038749999994</v>
      </c>
      <c r="H58">
        <v>0.40609374999999998</v>
      </c>
      <c r="I58">
        <v>14.619375</v>
      </c>
    </row>
    <row r="59" spans="4:9" x14ac:dyDescent="0.4">
      <c r="D59">
        <v>58</v>
      </c>
      <c r="E59">
        <f t="shared" si="2"/>
        <v>1.0122909661567112</v>
      </c>
      <c r="F59">
        <f t="shared" si="0"/>
        <v>0.72500000000000009</v>
      </c>
      <c r="G59">
        <f t="shared" si="1"/>
        <v>29.460229999999996</v>
      </c>
      <c r="H59">
        <v>0.40609374999999998</v>
      </c>
      <c r="I59">
        <v>14.619375</v>
      </c>
    </row>
    <row r="60" spans="4:9" x14ac:dyDescent="0.4">
      <c r="D60">
        <v>59</v>
      </c>
      <c r="E60">
        <f t="shared" si="2"/>
        <v>1.0297442586766543</v>
      </c>
      <c r="F60">
        <f t="shared" si="0"/>
        <v>0.73749999999999993</v>
      </c>
      <c r="G60">
        <f t="shared" si="1"/>
        <v>29.993166249999991</v>
      </c>
      <c r="H60">
        <v>0.40609374999999998</v>
      </c>
      <c r="I60">
        <v>14.619375</v>
      </c>
    </row>
    <row r="61" spans="4:9" x14ac:dyDescent="0.4">
      <c r="D61">
        <v>60</v>
      </c>
      <c r="E61">
        <f t="shared" si="2"/>
        <v>1.0471975511965976</v>
      </c>
      <c r="F61">
        <f t="shared" si="0"/>
        <v>0.75</v>
      </c>
      <c r="G61">
        <f t="shared" si="1"/>
        <v>30.509999999999998</v>
      </c>
      <c r="H61">
        <v>0.57968999999999993</v>
      </c>
      <c r="I61">
        <v>20.868839999999999</v>
      </c>
    </row>
    <row r="62" spans="4:9" x14ac:dyDescent="0.4">
      <c r="D62">
        <v>61</v>
      </c>
      <c r="E62">
        <f t="shared" si="2"/>
        <v>1.064650843716541</v>
      </c>
      <c r="F62">
        <f t="shared" si="0"/>
        <v>0.76249999999999996</v>
      </c>
      <c r="G62">
        <f t="shared" si="1"/>
        <v>31.009883749999997</v>
      </c>
      <c r="H62">
        <v>0.57968999999999993</v>
      </c>
      <c r="I62">
        <v>20.868839999999999</v>
      </c>
    </row>
    <row r="63" spans="4:9" x14ac:dyDescent="0.4">
      <c r="D63">
        <v>62</v>
      </c>
      <c r="E63">
        <f t="shared" si="2"/>
        <v>1.0821041362364843</v>
      </c>
      <c r="F63">
        <f t="shared" si="0"/>
        <v>0.77500000000000002</v>
      </c>
      <c r="G63">
        <f t="shared" si="1"/>
        <v>31.491970000000006</v>
      </c>
      <c r="H63">
        <v>0.57968999999999993</v>
      </c>
      <c r="I63">
        <v>20.868839999999999</v>
      </c>
    </row>
    <row r="64" spans="4:9" x14ac:dyDescent="0.4">
      <c r="D64">
        <v>63</v>
      </c>
      <c r="E64">
        <f t="shared" si="2"/>
        <v>1.0995574287564276</v>
      </c>
      <c r="F64">
        <f t="shared" si="0"/>
        <v>0.78749999999999998</v>
      </c>
      <c r="G64">
        <f t="shared" si="1"/>
        <v>31.955411249999997</v>
      </c>
      <c r="H64">
        <v>0.57968999999999993</v>
      </c>
      <c r="I64">
        <v>20.868839999999999</v>
      </c>
    </row>
    <row r="65" spans="4:9" x14ac:dyDescent="0.4">
      <c r="D65">
        <v>64</v>
      </c>
      <c r="E65">
        <f t="shared" si="2"/>
        <v>1.1170107212763709</v>
      </c>
      <c r="F65">
        <f t="shared" si="0"/>
        <v>0.8</v>
      </c>
      <c r="G65">
        <f t="shared" si="1"/>
        <v>32.399360000000001</v>
      </c>
      <c r="H65">
        <v>0.57968999999999993</v>
      </c>
      <c r="I65">
        <v>20.868839999999999</v>
      </c>
    </row>
    <row r="66" spans="4:9" x14ac:dyDescent="0.4">
      <c r="D66">
        <v>65</v>
      </c>
      <c r="E66">
        <f t="shared" ref="E66:E81" si="3">D66*PI()/180</f>
        <v>1.1344640137963142</v>
      </c>
      <c r="F66">
        <f t="shared" ref="F66:F81" si="4">9/4*E66/PI()</f>
        <v>0.81250000000000011</v>
      </c>
      <c r="G66">
        <f t="shared" ref="G66:G81" si="5">36.16*(3*F66^2-2*F66^3)</f>
        <v>32.822968750000008</v>
      </c>
      <c r="H66">
        <v>0.57968999999999993</v>
      </c>
      <c r="I66">
        <v>20.868839999999999</v>
      </c>
    </row>
    <row r="67" spans="4:9" x14ac:dyDescent="0.4">
      <c r="D67">
        <v>66</v>
      </c>
      <c r="E67">
        <f t="shared" si="3"/>
        <v>1.1519173063162575</v>
      </c>
      <c r="F67">
        <f t="shared" si="4"/>
        <v>0.82499999999999996</v>
      </c>
      <c r="G67">
        <f t="shared" si="5"/>
        <v>33.22538999999999</v>
      </c>
      <c r="H67">
        <v>0.57968999999999993</v>
      </c>
      <c r="I67">
        <v>20.868839999999999</v>
      </c>
    </row>
    <row r="68" spans="4:9" x14ac:dyDescent="0.4">
      <c r="D68">
        <v>67</v>
      </c>
      <c r="E68">
        <f t="shared" si="3"/>
        <v>1.1693705988362006</v>
      </c>
      <c r="F68">
        <f t="shared" si="4"/>
        <v>0.83749999999999991</v>
      </c>
      <c r="G68">
        <f t="shared" si="5"/>
        <v>33.605776249999998</v>
      </c>
      <c r="H68">
        <v>0.57968999999999993</v>
      </c>
      <c r="I68">
        <v>20.868839999999999</v>
      </c>
    </row>
    <row r="69" spans="4:9" x14ac:dyDescent="0.4">
      <c r="D69">
        <v>68</v>
      </c>
      <c r="E69">
        <f t="shared" si="3"/>
        <v>1.1868238913561442</v>
      </c>
      <c r="F69">
        <f t="shared" si="4"/>
        <v>0.85000000000000009</v>
      </c>
      <c r="G69">
        <f t="shared" si="5"/>
        <v>33.963280000000005</v>
      </c>
      <c r="H69">
        <v>0.57968999999999993</v>
      </c>
      <c r="I69">
        <v>20.868839999999999</v>
      </c>
    </row>
    <row r="70" spans="4:9" x14ac:dyDescent="0.4">
      <c r="D70">
        <v>69</v>
      </c>
      <c r="E70">
        <f t="shared" si="3"/>
        <v>1.2042771838760873</v>
      </c>
      <c r="F70">
        <f t="shared" si="4"/>
        <v>0.86249999999999993</v>
      </c>
      <c r="G70">
        <f t="shared" si="5"/>
        <v>34.297053750000003</v>
      </c>
      <c r="H70">
        <v>0.57968999999999993</v>
      </c>
      <c r="I70">
        <v>20.868839999999999</v>
      </c>
    </row>
    <row r="71" spans="4:9" x14ac:dyDescent="0.4">
      <c r="D71">
        <v>70</v>
      </c>
      <c r="E71">
        <f t="shared" si="3"/>
        <v>1.2217304763960306</v>
      </c>
      <c r="F71">
        <f t="shared" si="4"/>
        <v>0.875</v>
      </c>
      <c r="G71">
        <f t="shared" si="5"/>
        <v>34.606249999999996</v>
      </c>
      <c r="H71">
        <v>0.78210124999999975</v>
      </c>
      <c r="I71">
        <v>28.155644999999993</v>
      </c>
    </row>
    <row r="72" spans="4:9" x14ac:dyDescent="0.4">
      <c r="D72">
        <v>71</v>
      </c>
      <c r="E72">
        <f t="shared" si="3"/>
        <v>1.2391837689159739</v>
      </c>
      <c r="F72">
        <f t="shared" si="4"/>
        <v>0.88749999999999996</v>
      </c>
      <c r="G72">
        <f t="shared" si="5"/>
        <v>34.890021249999997</v>
      </c>
      <c r="H72">
        <v>0.78210124999999975</v>
      </c>
      <c r="I72">
        <v>28.155644999999993</v>
      </c>
    </row>
    <row r="73" spans="4:9" x14ac:dyDescent="0.4">
      <c r="D73">
        <v>72</v>
      </c>
      <c r="E73">
        <f t="shared" si="3"/>
        <v>1.2566370614359172</v>
      </c>
      <c r="F73">
        <f t="shared" si="4"/>
        <v>0.9</v>
      </c>
      <c r="G73">
        <f t="shared" si="5"/>
        <v>35.147519999999993</v>
      </c>
      <c r="H73">
        <v>0.78210124999999975</v>
      </c>
      <c r="I73">
        <v>28.155644999999993</v>
      </c>
    </row>
    <row r="74" spans="4:9" x14ac:dyDescent="0.4">
      <c r="D74">
        <v>73</v>
      </c>
      <c r="E74">
        <f t="shared" si="3"/>
        <v>1.2740903539558606</v>
      </c>
      <c r="F74">
        <f t="shared" si="4"/>
        <v>0.91250000000000009</v>
      </c>
      <c r="G74">
        <f t="shared" si="5"/>
        <v>35.37789875</v>
      </c>
      <c r="H74">
        <v>0.78210124999999975</v>
      </c>
      <c r="I74">
        <v>28.155644999999993</v>
      </c>
    </row>
    <row r="75" spans="4:9" x14ac:dyDescent="0.4">
      <c r="D75">
        <v>74</v>
      </c>
      <c r="E75">
        <f t="shared" si="3"/>
        <v>1.2915436464758039</v>
      </c>
      <c r="F75">
        <f t="shared" si="4"/>
        <v>0.92500000000000004</v>
      </c>
      <c r="G75">
        <f t="shared" si="5"/>
        <v>35.580310000000004</v>
      </c>
      <c r="H75">
        <v>0.78210124999999975</v>
      </c>
      <c r="I75">
        <v>28.155644999999993</v>
      </c>
    </row>
    <row r="76" spans="4:9" x14ac:dyDescent="0.4">
      <c r="D76">
        <v>75</v>
      </c>
      <c r="E76">
        <f t="shared" si="3"/>
        <v>1.3089969389957472</v>
      </c>
      <c r="F76">
        <f t="shared" si="4"/>
        <v>0.93750000000000011</v>
      </c>
      <c r="G76">
        <f t="shared" si="5"/>
        <v>35.753906250000007</v>
      </c>
      <c r="H76">
        <v>0.78210124999999975</v>
      </c>
      <c r="I76">
        <v>28.155644999999993</v>
      </c>
    </row>
    <row r="77" spans="4:9" x14ac:dyDescent="0.4">
      <c r="D77">
        <v>76</v>
      </c>
      <c r="E77">
        <f t="shared" si="3"/>
        <v>1.3264502315156903</v>
      </c>
      <c r="F77">
        <f t="shared" si="4"/>
        <v>0.94999999999999984</v>
      </c>
      <c r="G77">
        <f t="shared" si="5"/>
        <v>35.897839999999988</v>
      </c>
      <c r="H77">
        <v>0.78210124999999975</v>
      </c>
      <c r="I77">
        <v>28.155644999999993</v>
      </c>
    </row>
    <row r="78" spans="4:9" x14ac:dyDescent="0.4">
      <c r="D78">
        <v>77</v>
      </c>
      <c r="E78">
        <f t="shared" si="3"/>
        <v>1.3439035240356338</v>
      </c>
      <c r="F78">
        <f t="shared" si="4"/>
        <v>0.96250000000000002</v>
      </c>
      <c r="G78">
        <f t="shared" si="5"/>
        <v>36.011263749999991</v>
      </c>
      <c r="H78">
        <v>0.78210124999999975</v>
      </c>
      <c r="I78">
        <v>28.155644999999993</v>
      </c>
    </row>
    <row r="79" spans="4:9" x14ac:dyDescent="0.4">
      <c r="D79">
        <v>78</v>
      </c>
      <c r="E79">
        <f t="shared" si="3"/>
        <v>1.3613568165555769</v>
      </c>
      <c r="F79">
        <f t="shared" si="4"/>
        <v>0.97499999999999998</v>
      </c>
      <c r="G79">
        <f t="shared" si="5"/>
        <v>36.093329999999995</v>
      </c>
      <c r="H79">
        <v>0.78210124999999975</v>
      </c>
      <c r="I79">
        <v>28.155644999999993</v>
      </c>
    </row>
    <row r="80" spans="4:9" x14ac:dyDescent="0.4">
      <c r="D80">
        <v>79</v>
      </c>
      <c r="E80">
        <f t="shared" si="3"/>
        <v>1.3788101090755203</v>
      </c>
      <c r="F80">
        <f t="shared" si="4"/>
        <v>0.98749999999999993</v>
      </c>
      <c r="G80">
        <f t="shared" si="5"/>
        <v>36.143191249999994</v>
      </c>
      <c r="H80">
        <v>0.78210124999999975</v>
      </c>
      <c r="I80">
        <v>28.155644999999993</v>
      </c>
    </row>
    <row r="81" spans="3:9" x14ac:dyDescent="0.4">
      <c r="C81" s="1" t="s">
        <v>21</v>
      </c>
      <c r="D81">
        <v>80</v>
      </c>
      <c r="E81">
        <f t="shared" si="3"/>
        <v>1.3962634015954636</v>
      </c>
      <c r="F81">
        <f t="shared" si="4"/>
        <v>1</v>
      </c>
      <c r="G81">
        <f t="shared" si="5"/>
        <v>36.159999999999997</v>
      </c>
      <c r="H81">
        <v>1.01248</v>
      </c>
      <c r="I81">
        <v>36.449280000000002</v>
      </c>
    </row>
    <row r="82" spans="3:9" x14ac:dyDescent="0.4">
      <c r="D82">
        <v>81</v>
      </c>
      <c r="E82">
        <f>(D82-$D$81)*PI()/180</f>
        <v>1.7453292519943295E-2</v>
      </c>
      <c r="F82">
        <f>18*E82/PI()</f>
        <v>0.1</v>
      </c>
      <c r="G82">
        <f>G81-G81*(3*F82^2-2*F82^3)</f>
        <v>35.14752</v>
      </c>
      <c r="H82">
        <v>1.01248</v>
      </c>
      <c r="I82">
        <v>36.449280000000002</v>
      </c>
    </row>
    <row r="83" spans="3:9" x14ac:dyDescent="0.4">
      <c r="D83">
        <v>82</v>
      </c>
      <c r="E83">
        <f t="shared" ref="E83:E91" si="6">(D83-$D$81)*PI()/180</f>
        <v>3.4906585039886591E-2</v>
      </c>
      <c r="F83">
        <f>18*E83/PI()</f>
        <v>0.2</v>
      </c>
      <c r="G83">
        <f t="shared" ref="G83:G91" si="7">G82-G82*(3*F83^2-2*F83^3)</f>
        <v>31.49217792</v>
      </c>
      <c r="H83">
        <v>1.01248</v>
      </c>
      <c r="I83">
        <v>36.449280000000002</v>
      </c>
    </row>
    <row r="84" spans="3:9" x14ac:dyDescent="0.4">
      <c r="D84">
        <v>83</v>
      </c>
      <c r="E84">
        <f t="shared" si="6"/>
        <v>5.2359877559829883E-2</v>
      </c>
      <c r="F84">
        <f t="shared" ref="F84:F91" si="8">18*E84/PI()</f>
        <v>0.3</v>
      </c>
      <c r="G84">
        <f t="shared" si="7"/>
        <v>24.689867489279997</v>
      </c>
      <c r="H84">
        <v>1.01248</v>
      </c>
      <c r="I84">
        <v>36.449280000000002</v>
      </c>
    </row>
    <row r="85" spans="3:9" x14ac:dyDescent="0.4">
      <c r="D85">
        <v>84</v>
      </c>
      <c r="E85">
        <f t="shared" si="6"/>
        <v>6.9813170079773182E-2</v>
      </c>
      <c r="F85">
        <f t="shared" si="8"/>
        <v>0.4</v>
      </c>
      <c r="G85">
        <f t="shared" si="7"/>
        <v>15.999034133053437</v>
      </c>
      <c r="H85">
        <v>1.01248</v>
      </c>
      <c r="I85">
        <v>36.449280000000002</v>
      </c>
    </row>
    <row r="86" spans="3:9" x14ac:dyDescent="0.4">
      <c r="D86">
        <v>85</v>
      </c>
      <c r="E86">
        <f t="shared" si="6"/>
        <v>8.7266462599716474E-2</v>
      </c>
      <c r="F86">
        <f t="shared" si="8"/>
        <v>0.5</v>
      </c>
      <c r="G86">
        <f t="shared" si="7"/>
        <v>7.9995170665267183</v>
      </c>
      <c r="H86">
        <v>1.01248</v>
      </c>
      <c r="I86">
        <v>36.449280000000002</v>
      </c>
    </row>
    <row r="87" spans="3:9" x14ac:dyDescent="0.4">
      <c r="D87">
        <v>86</v>
      </c>
      <c r="E87">
        <f t="shared" si="6"/>
        <v>0.10471975511965977</v>
      </c>
      <c r="F87">
        <f t="shared" si="8"/>
        <v>0.6</v>
      </c>
      <c r="G87">
        <f t="shared" si="7"/>
        <v>2.8158300074174036</v>
      </c>
      <c r="H87">
        <v>1.01248</v>
      </c>
      <c r="I87">
        <v>36.449280000000002</v>
      </c>
    </row>
    <row r="88" spans="3:9" x14ac:dyDescent="0.4">
      <c r="D88">
        <v>87</v>
      </c>
      <c r="E88">
        <f t="shared" si="6"/>
        <v>0.12217304763960307</v>
      </c>
      <c r="F88">
        <f t="shared" si="8"/>
        <v>0.7</v>
      </c>
      <c r="G88">
        <f t="shared" si="7"/>
        <v>0.60821928160215943</v>
      </c>
      <c r="H88">
        <v>1.01248</v>
      </c>
      <c r="I88">
        <v>36.449280000000002</v>
      </c>
    </row>
    <row r="89" spans="3:9" x14ac:dyDescent="0.4">
      <c r="D89">
        <v>88</v>
      </c>
      <c r="E89">
        <f t="shared" si="6"/>
        <v>0.13962634015954636</v>
      </c>
      <c r="F89">
        <f t="shared" si="8"/>
        <v>0.8</v>
      </c>
      <c r="G89">
        <f t="shared" si="7"/>
        <v>6.3254805286624527E-2</v>
      </c>
      <c r="H89">
        <v>1.01248</v>
      </c>
      <c r="I89">
        <v>36.449280000000002</v>
      </c>
    </row>
    <row r="90" spans="3:9" x14ac:dyDescent="0.4">
      <c r="D90">
        <v>89</v>
      </c>
      <c r="E90">
        <f t="shared" si="6"/>
        <v>0.15707963267948966</v>
      </c>
      <c r="F90">
        <f t="shared" si="8"/>
        <v>0.9</v>
      </c>
      <c r="G90">
        <f t="shared" si="7"/>
        <v>1.7711345480254867E-3</v>
      </c>
      <c r="H90">
        <v>1.01248</v>
      </c>
      <c r="I90">
        <v>36.449280000000002</v>
      </c>
    </row>
    <row r="91" spans="3:9" x14ac:dyDescent="0.4">
      <c r="D91">
        <v>90</v>
      </c>
      <c r="E91">
        <f>(D91-$D$81)*PI()/180</f>
        <v>0.17453292519943295</v>
      </c>
      <c r="F91">
        <f t="shared" si="8"/>
        <v>1</v>
      </c>
      <c r="G91">
        <f t="shared" si="7"/>
        <v>0</v>
      </c>
      <c r="H91">
        <v>1.2699787499999999</v>
      </c>
      <c r="I91">
        <v>45.719234999999998</v>
      </c>
    </row>
    <row r="92" spans="3:9" x14ac:dyDescent="0.4">
      <c r="H92">
        <v>1.2699787499999999</v>
      </c>
      <c r="I92">
        <v>45.719234999999998</v>
      </c>
    </row>
    <row r="93" spans="3:9" x14ac:dyDescent="0.4">
      <c r="H93">
        <v>1.2699787499999999</v>
      </c>
      <c r="I93">
        <v>45.719234999999998</v>
      </c>
    </row>
    <row r="94" spans="3:9" x14ac:dyDescent="0.4">
      <c r="H94">
        <v>1.2699787499999999</v>
      </c>
      <c r="I94">
        <v>45.719234999999998</v>
      </c>
    </row>
    <row r="95" spans="3:9" x14ac:dyDescent="0.4">
      <c r="H95">
        <v>1.2699787499999999</v>
      </c>
      <c r="I95">
        <v>45.719234999999998</v>
      </c>
    </row>
    <row r="96" spans="3:9" x14ac:dyDescent="0.4">
      <c r="H96">
        <v>1.2699787499999999</v>
      </c>
      <c r="I96">
        <v>45.719234999999998</v>
      </c>
    </row>
    <row r="97" spans="8:9" x14ac:dyDescent="0.4">
      <c r="H97">
        <v>1.2699787499999999</v>
      </c>
      <c r="I97">
        <v>45.719234999999998</v>
      </c>
    </row>
    <row r="98" spans="8:9" x14ac:dyDescent="0.4">
      <c r="H98">
        <v>1.2699787499999999</v>
      </c>
      <c r="I98">
        <v>45.719234999999998</v>
      </c>
    </row>
    <row r="99" spans="8:9" x14ac:dyDescent="0.4">
      <c r="H99">
        <v>1.2699787499999999</v>
      </c>
      <c r="I99">
        <v>45.719234999999998</v>
      </c>
    </row>
    <row r="100" spans="8:9" x14ac:dyDescent="0.4">
      <c r="H100">
        <v>1.2699787499999999</v>
      </c>
      <c r="I100">
        <v>45.719234999999998</v>
      </c>
    </row>
    <row r="101" spans="8:9" x14ac:dyDescent="0.4">
      <c r="H101">
        <v>1.55375</v>
      </c>
      <c r="I101">
        <v>55.935000000000002</v>
      </c>
    </row>
    <row r="102" spans="8:9" x14ac:dyDescent="0.4">
      <c r="H102">
        <v>1.55375</v>
      </c>
      <c r="I102">
        <v>55.935000000000002</v>
      </c>
    </row>
    <row r="103" spans="8:9" x14ac:dyDescent="0.4">
      <c r="H103">
        <v>1.55375</v>
      </c>
      <c r="I103">
        <v>55.935000000000002</v>
      </c>
    </row>
    <row r="104" spans="8:9" x14ac:dyDescent="0.4">
      <c r="H104">
        <v>1.55375</v>
      </c>
      <c r="I104">
        <v>55.935000000000002</v>
      </c>
    </row>
    <row r="105" spans="8:9" x14ac:dyDescent="0.4">
      <c r="H105">
        <v>1.55375</v>
      </c>
      <c r="I105">
        <v>55.935000000000002</v>
      </c>
    </row>
    <row r="106" spans="8:9" x14ac:dyDescent="0.4">
      <c r="H106">
        <v>1.55375</v>
      </c>
      <c r="I106">
        <v>55.935000000000002</v>
      </c>
    </row>
    <row r="107" spans="8:9" x14ac:dyDescent="0.4">
      <c r="H107">
        <v>1.55375</v>
      </c>
      <c r="I107">
        <v>55.935000000000002</v>
      </c>
    </row>
    <row r="108" spans="8:9" x14ac:dyDescent="0.4">
      <c r="H108">
        <v>1.55375</v>
      </c>
      <c r="I108">
        <v>55.935000000000002</v>
      </c>
    </row>
    <row r="109" spans="8:9" x14ac:dyDescent="0.4">
      <c r="H109">
        <v>1.55375</v>
      </c>
      <c r="I109">
        <v>55.935000000000002</v>
      </c>
    </row>
    <row r="110" spans="8:9" x14ac:dyDescent="0.4">
      <c r="H110">
        <v>1.55375</v>
      </c>
      <c r="I110">
        <v>55.935000000000002</v>
      </c>
    </row>
    <row r="111" spans="8:9" x14ac:dyDescent="0.4">
      <c r="H111">
        <v>1.8629462500000002</v>
      </c>
      <c r="I111">
        <v>67.066065000000009</v>
      </c>
    </row>
    <row r="112" spans="8:9" x14ac:dyDescent="0.4">
      <c r="H112">
        <v>1.8629462500000002</v>
      </c>
      <c r="I112">
        <v>67.066065000000009</v>
      </c>
    </row>
    <row r="113" spans="8:9" x14ac:dyDescent="0.4">
      <c r="H113">
        <v>1.8629462500000002</v>
      </c>
      <c r="I113">
        <v>67.066065000000009</v>
      </c>
    </row>
    <row r="114" spans="8:9" x14ac:dyDescent="0.4">
      <c r="H114">
        <v>1.8629462500000002</v>
      </c>
      <c r="I114">
        <v>67.066065000000009</v>
      </c>
    </row>
    <row r="115" spans="8:9" x14ac:dyDescent="0.4">
      <c r="H115">
        <v>1.8629462500000002</v>
      </c>
      <c r="I115">
        <v>67.066065000000009</v>
      </c>
    </row>
    <row r="116" spans="8:9" x14ac:dyDescent="0.4">
      <c r="H116">
        <v>1.8629462500000002</v>
      </c>
      <c r="I116">
        <v>67.066065000000009</v>
      </c>
    </row>
    <row r="117" spans="8:9" x14ac:dyDescent="0.4">
      <c r="H117">
        <v>1.8629462500000002</v>
      </c>
      <c r="I117">
        <v>67.066065000000009</v>
      </c>
    </row>
    <row r="118" spans="8:9" x14ac:dyDescent="0.4">
      <c r="H118">
        <v>1.8629462500000002</v>
      </c>
      <c r="I118">
        <v>67.066065000000009</v>
      </c>
    </row>
    <row r="119" spans="8:9" x14ac:dyDescent="0.4">
      <c r="H119">
        <v>1.8629462500000002</v>
      </c>
      <c r="I119">
        <v>67.066065000000009</v>
      </c>
    </row>
    <row r="120" spans="8:9" x14ac:dyDescent="0.4">
      <c r="H120">
        <v>1.8629462500000002</v>
      </c>
      <c r="I120">
        <v>67.066065000000009</v>
      </c>
    </row>
    <row r="121" spans="8:9" x14ac:dyDescent="0.4">
      <c r="H121">
        <v>2.19672</v>
      </c>
      <c r="I121">
        <v>79.081919999999997</v>
      </c>
    </row>
    <row r="122" spans="8:9" x14ac:dyDescent="0.4">
      <c r="H122">
        <v>2.19672</v>
      </c>
      <c r="I122">
        <v>79.081919999999997</v>
      </c>
    </row>
    <row r="123" spans="8:9" x14ac:dyDescent="0.4">
      <c r="H123">
        <v>2.19672</v>
      </c>
      <c r="I123">
        <v>79.081919999999997</v>
      </c>
    </row>
    <row r="124" spans="8:9" x14ac:dyDescent="0.4">
      <c r="H124">
        <v>2.19672</v>
      </c>
      <c r="I124">
        <v>79.081919999999997</v>
      </c>
    </row>
    <row r="125" spans="8:9" x14ac:dyDescent="0.4">
      <c r="H125">
        <v>2.19672</v>
      </c>
      <c r="I125">
        <v>79.081919999999997</v>
      </c>
    </row>
    <row r="126" spans="8:9" x14ac:dyDescent="0.4">
      <c r="H126">
        <v>2.19672</v>
      </c>
      <c r="I126">
        <v>79.081919999999997</v>
      </c>
    </row>
    <row r="127" spans="8:9" x14ac:dyDescent="0.4">
      <c r="H127">
        <v>2.19672</v>
      </c>
      <c r="I127">
        <v>79.081919999999997</v>
      </c>
    </row>
    <row r="128" spans="8:9" x14ac:dyDescent="0.4">
      <c r="H128">
        <v>2.19672</v>
      </c>
      <c r="I128">
        <v>79.081919999999997</v>
      </c>
    </row>
    <row r="129" spans="8:9" x14ac:dyDescent="0.4">
      <c r="H129">
        <v>2.19672</v>
      </c>
      <c r="I129">
        <v>79.081919999999997</v>
      </c>
    </row>
    <row r="130" spans="8:9" x14ac:dyDescent="0.4">
      <c r="H130">
        <v>2.19672</v>
      </c>
      <c r="I130">
        <v>79.081919999999997</v>
      </c>
    </row>
    <row r="131" spans="8:9" x14ac:dyDescent="0.4">
      <c r="H131">
        <v>2.5542237500000002</v>
      </c>
      <c r="I131">
        <v>91.952055000000001</v>
      </c>
    </row>
    <row r="132" spans="8:9" x14ac:dyDescent="0.4">
      <c r="H132">
        <v>2.5542237500000002</v>
      </c>
      <c r="I132">
        <v>91.952055000000001</v>
      </c>
    </row>
    <row r="133" spans="8:9" x14ac:dyDescent="0.4">
      <c r="H133">
        <v>2.5542237500000002</v>
      </c>
      <c r="I133">
        <v>91.952055000000001</v>
      </c>
    </row>
    <row r="134" spans="8:9" x14ac:dyDescent="0.4">
      <c r="H134">
        <v>2.5542237500000002</v>
      </c>
      <c r="I134">
        <v>91.952055000000001</v>
      </c>
    </row>
    <row r="135" spans="8:9" x14ac:dyDescent="0.4">
      <c r="H135">
        <v>2.5542237500000002</v>
      </c>
      <c r="I135">
        <v>91.952055000000001</v>
      </c>
    </row>
    <row r="136" spans="8:9" x14ac:dyDescent="0.4">
      <c r="H136">
        <v>2.5542237500000002</v>
      </c>
      <c r="I136">
        <v>91.952055000000001</v>
      </c>
    </row>
    <row r="137" spans="8:9" x14ac:dyDescent="0.4">
      <c r="H137">
        <v>2.5542237500000002</v>
      </c>
      <c r="I137">
        <v>91.952055000000001</v>
      </c>
    </row>
    <row r="138" spans="8:9" x14ac:dyDescent="0.4">
      <c r="H138">
        <v>2.5542237500000002</v>
      </c>
      <c r="I138">
        <v>91.952055000000001</v>
      </c>
    </row>
    <row r="139" spans="8:9" x14ac:dyDescent="0.4">
      <c r="H139">
        <v>2.5542237500000002</v>
      </c>
      <c r="I139">
        <v>91.952055000000001</v>
      </c>
    </row>
    <row r="140" spans="8:9" x14ac:dyDescent="0.4">
      <c r="H140">
        <v>2.5542237500000002</v>
      </c>
      <c r="I140">
        <v>91.952055000000001</v>
      </c>
    </row>
    <row r="141" spans="8:9" x14ac:dyDescent="0.4">
      <c r="H141">
        <v>2.9346099999999993</v>
      </c>
      <c r="I141">
        <v>105.64595999999997</v>
      </c>
    </row>
    <row r="142" spans="8:9" x14ac:dyDescent="0.4">
      <c r="H142">
        <v>2.9346099999999993</v>
      </c>
      <c r="I142">
        <v>105.64595999999997</v>
      </c>
    </row>
    <row r="143" spans="8:9" x14ac:dyDescent="0.4">
      <c r="H143">
        <v>2.9346099999999993</v>
      </c>
      <c r="I143">
        <v>105.64595999999997</v>
      </c>
    </row>
    <row r="144" spans="8:9" x14ac:dyDescent="0.4">
      <c r="H144">
        <v>2.9346099999999993</v>
      </c>
      <c r="I144">
        <v>105.64595999999997</v>
      </c>
    </row>
    <row r="145" spans="8:9" x14ac:dyDescent="0.4">
      <c r="H145">
        <v>2.9346099999999993</v>
      </c>
      <c r="I145">
        <v>105.64595999999997</v>
      </c>
    </row>
    <row r="146" spans="8:9" x14ac:dyDescent="0.4">
      <c r="H146">
        <v>2.9346099999999993</v>
      </c>
      <c r="I146">
        <v>105.64595999999997</v>
      </c>
    </row>
    <row r="147" spans="8:9" x14ac:dyDescent="0.4">
      <c r="H147">
        <v>2.9346099999999993</v>
      </c>
      <c r="I147">
        <v>105.64595999999997</v>
      </c>
    </row>
    <row r="148" spans="8:9" x14ac:dyDescent="0.4">
      <c r="H148">
        <v>2.9346099999999993</v>
      </c>
      <c r="I148">
        <v>105.64595999999997</v>
      </c>
    </row>
    <row r="149" spans="8:9" x14ac:dyDescent="0.4">
      <c r="H149">
        <v>2.9346099999999993</v>
      </c>
      <c r="I149">
        <v>105.64595999999997</v>
      </c>
    </row>
    <row r="150" spans="8:9" x14ac:dyDescent="0.4">
      <c r="H150">
        <v>2.9346099999999993</v>
      </c>
      <c r="I150">
        <v>105.64595999999997</v>
      </c>
    </row>
    <row r="151" spans="8:9" x14ac:dyDescent="0.4">
      <c r="H151">
        <v>3.3370312499999999</v>
      </c>
      <c r="I151">
        <v>120.13312499999999</v>
      </c>
    </row>
    <row r="152" spans="8:9" x14ac:dyDescent="0.4">
      <c r="H152">
        <v>3.3370312499999999</v>
      </c>
      <c r="I152">
        <v>120.13312499999999</v>
      </c>
    </row>
    <row r="153" spans="8:9" x14ac:dyDescent="0.4">
      <c r="H153">
        <v>3.3370312499999999</v>
      </c>
      <c r="I153">
        <v>120.13312499999999</v>
      </c>
    </row>
    <row r="154" spans="8:9" x14ac:dyDescent="0.4">
      <c r="H154">
        <v>3.3370312499999999</v>
      </c>
      <c r="I154">
        <v>120.13312499999999</v>
      </c>
    </row>
    <row r="155" spans="8:9" x14ac:dyDescent="0.4">
      <c r="H155">
        <v>3.3370312499999999</v>
      </c>
      <c r="I155">
        <v>120.13312499999999</v>
      </c>
    </row>
    <row r="156" spans="8:9" x14ac:dyDescent="0.4">
      <c r="H156">
        <v>3.3370312499999999</v>
      </c>
      <c r="I156">
        <v>120.13312499999999</v>
      </c>
    </row>
    <row r="157" spans="8:9" x14ac:dyDescent="0.4">
      <c r="H157">
        <v>3.3370312499999999</v>
      </c>
      <c r="I157">
        <v>120.13312499999999</v>
      </c>
    </row>
    <row r="158" spans="8:9" x14ac:dyDescent="0.4">
      <c r="H158">
        <v>3.3370312499999999</v>
      </c>
      <c r="I158">
        <v>120.13312499999999</v>
      </c>
    </row>
    <row r="159" spans="8:9" x14ac:dyDescent="0.4">
      <c r="H159">
        <v>3.3370312499999999</v>
      </c>
      <c r="I159">
        <v>120.13312499999999</v>
      </c>
    </row>
    <row r="160" spans="8:9" x14ac:dyDescent="0.4">
      <c r="H160">
        <v>3.3370312499999999</v>
      </c>
      <c r="I160">
        <v>120.13312499999999</v>
      </c>
    </row>
    <row r="161" spans="8:9" x14ac:dyDescent="0.4">
      <c r="H161">
        <v>3.7606400000000004</v>
      </c>
      <c r="I161">
        <v>135.38304000000002</v>
      </c>
    </row>
    <row r="162" spans="8:9" x14ac:dyDescent="0.4">
      <c r="H162">
        <v>3.7606400000000004</v>
      </c>
      <c r="I162">
        <v>135.38304000000002</v>
      </c>
    </row>
    <row r="163" spans="8:9" x14ac:dyDescent="0.4">
      <c r="H163">
        <v>3.7606400000000004</v>
      </c>
      <c r="I163">
        <v>135.38304000000002</v>
      </c>
    </row>
    <row r="164" spans="8:9" x14ac:dyDescent="0.4">
      <c r="H164">
        <v>3.7606400000000004</v>
      </c>
      <c r="I164">
        <v>135.38304000000002</v>
      </c>
    </row>
    <row r="165" spans="8:9" x14ac:dyDescent="0.4">
      <c r="H165">
        <v>3.7606400000000004</v>
      </c>
      <c r="I165">
        <v>135.38304000000002</v>
      </c>
    </row>
    <row r="166" spans="8:9" x14ac:dyDescent="0.4">
      <c r="H166">
        <v>3.7606400000000004</v>
      </c>
      <c r="I166">
        <v>135.38304000000002</v>
      </c>
    </row>
    <row r="167" spans="8:9" x14ac:dyDescent="0.4">
      <c r="H167">
        <v>3.7606400000000004</v>
      </c>
      <c r="I167">
        <v>135.38304000000002</v>
      </c>
    </row>
    <row r="168" spans="8:9" x14ac:dyDescent="0.4">
      <c r="H168">
        <v>3.7606400000000004</v>
      </c>
      <c r="I168">
        <v>135.38304000000002</v>
      </c>
    </row>
    <row r="169" spans="8:9" x14ac:dyDescent="0.4">
      <c r="H169">
        <v>3.7606400000000004</v>
      </c>
      <c r="I169">
        <v>135.38304000000002</v>
      </c>
    </row>
    <row r="170" spans="8:9" x14ac:dyDescent="0.4">
      <c r="H170">
        <v>3.7606400000000004</v>
      </c>
      <c r="I170">
        <v>135.38304000000002</v>
      </c>
    </row>
    <row r="171" spans="8:9" x14ac:dyDescent="0.4">
      <c r="H171">
        <v>4.2045887500000001</v>
      </c>
      <c r="I171">
        <v>151.365195</v>
      </c>
    </row>
    <row r="172" spans="8:9" x14ac:dyDescent="0.4">
      <c r="H172">
        <v>4.2045887500000001</v>
      </c>
      <c r="I172">
        <v>151.365195</v>
      </c>
    </row>
    <row r="173" spans="8:9" x14ac:dyDescent="0.4">
      <c r="H173">
        <v>4.2045887500000001</v>
      </c>
      <c r="I173">
        <v>151.365195</v>
      </c>
    </row>
    <row r="174" spans="8:9" x14ac:dyDescent="0.4">
      <c r="H174">
        <v>4.2045887500000001</v>
      </c>
      <c r="I174">
        <v>151.365195</v>
      </c>
    </row>
    <row r="175" spans="8:9" x14ac:dyDescent="0.4">
      <c r="H175">
        <v>4.2045887500000001</v>
      </c>
      <c r="I175">
        <v>151.365195</v>
      </c>
    </row>
    <row r="176" spans="8:9" x14ac:dyDescent="0.4">
      <c r="H176">
        <v>4.2045887500000001</v>
      </c>
      <c r="I176">
        <v>151.365195</v>
      </c>
    </row>
    <row r="177" spans="8:9" x14ac:dyDescent="0.4">
      <c r="H177">
        <v>4.2045887500000001</v>
      </c>
      <c r="I177">
        <v>151.365195</v>
      </c>
    </row>
    <row r="178" spans="8:9" x14ac:dyDescent="0.4">
      <c r="H178">
        <v>4.2045887500000001</v>
      </c>
      <c r="I178">
        <v>151.365195</v>
      </c>
    </row>
    <row r="179" spans="8:9" x14ac:dyDescent="0.4">
      <c r="H179">
        <v>4.2045887500000001</v>
      </c>
      <c r="I179">
        <v>151.365195</v>
      </c>
    </row>
    <row r="180" spans="8:9" x14ac:dyDescent="0.4">
      <c r="H180">
        <v>4.2045887500000001</v>
      </c>
      <c r="I180">
        <v>151.365195</v>
      </c>
    </row>
    <row r="181" spans="8:9" x14ac:dyDescent="0.4">
      <c r="H181">
        <v>4.6680299999999999</v>
      </c>
      <c r="I181">
        <v>168.04908</v>
      </c>
    </row>
    <row r="182" spans="8:9" x14ac:dyDescent="0.4">
      <c r="H182">
        <v>4.6680299999999999</v>
      </c>
      <c r="I182">
        <v>168.04908</v>
      </c>
    </row>
    <row r="183" spans="8:9" x14ac:dyDescent="0.4">
      <c r="H183">
        <v>4.6680299999999999</v>
      </c>
      <c r="I183">
        <v>168.04908</v>
      </c>
    </row>
    <row r="184" spans="8:9" x14ac:dyDescent="0.4">
      <c r="H184">
        <v>4.6680299999999999</v>
      </c>
      <c r="I184">
        <v>168.04908</v>
      </c>
    </row>
    <row r="185" spans="8:9" x14ac:dyDescent="0.4">
      <c r="H185">
        <v>4.6680299999999999</v>
      </c>
      <c r="I185">
        <v>168.04908</v>
      </c>
    </row>
    <row r="186" spans="8:9" x14ac:dyDescent="0.4">
      <c r="H186">
        <v>4.6680299999999999</v>
      </c>
      <c r="I186">
        <v>168.04908</v>
      </c>
    </row>
    <row r="187" spans="8:9" x14ac:dyDescent="0.4">
      <c r="H187">
        <v>4.6680299999999999</v>
      </c>
      <c r="I187">
        <v>168.04908</v>
      </c>
    </row>
    <row r="188" spans="8:9" x14ac:dyDescent="0.4">
      <c r="H188">
        <v>4.6680299999999999</v>
      </c>
      <c r="I188">
        <v>168.04908</v>
      </c>
    </row>
    <row r="189" spans="8:9" x14ac:dyDescent="0.4">
      <c r="H189">
        <v>4.6680299999999999</v>
      </c>
      <c r="I189">
        <v>168.04908</v>
      </c>
    </row>
    <row r="190" spans="8:9" x14ac:dyDescent="0.4">
      <c r="H190">
        <v>4.6680299999999999</v>
      </c>
      <c r="I190">
        <v>168.04908</v>
      </c>
    </row>
    <row r="191" spans="8:9" x14ac:dyDescent="0.4">
      <c r="H191">
        <v>5.1501162499999982</v>
      </c>
      <c r="I191">
        <v>185.40418499999993</v>
      </c>
    </row>
    <row r="192" spans="8:9" x14ac:dyDescent="0.4">
      <c r="H192">
        <v>5.1501162499999982</v>
      </c>
      <c r="I192">
        <v>185.40418499999993</v>
      </c>
    </row>
    <row r="193" spans="8:9" x14ac:dyDescent="0.4">
      <c r="H193">
        <v>5.1501162499999982</v>
      </c>
      <c r="I193">
        <v>185.40418499999993</v>
      </c>
    </row>
    <row r="194" spans="8:9" x14ac:dyDescent="0.4">
      <c r="H194">
        <v>5.1501162499999982</v>
      </c>
      <c r="I194">
        <v>185.40418499999993</v>
      </c>
    </row>
    <row r="195" spans="8:9" x14ac:dyDescent="0.4">
      <c r="H195">
        <v>5.1501162499999982</v>
      </c>
      <c r="I195">
        <v>185.40418499999993</v>
      </c>
    </row>
    <row r="196" spans="8:9" x14ac:dyDescent="0.4">
      <c r="H196">
        <v>5.1501162499999982</v>
      </c>
      <c r="I196">
        <v>185.40418499999993</v>
      </c>
    </row>
    <row r="197" spans="8:9" x14ac:dyDescent="0.4">
      <c r="H197">
        <v>5.1501162499999982</v>
      </c>
      <c r="I197">
        <v>185.40418499999993</v>
      </c>
    </row>
    <row r="198" spans="8:9" x14ac:dyDescent="0.4">
      <c r="H198">
        <v>5.1501162499999982</v>
      </c>
      <c r="I198">
        <v>185.40418499999993</v>
      </c>
    </row>
    <row r="199" spans="8:9" x14ac:dyDescent="0.4">
      <c r="H199">
        <v>5.1501162499999982</v>
      </c>
      <c r="I199">
        <v>185.40418499999993</v>
      </c>
    </row>
    <row r="200" spans="8:9" x14ac:dyDescent="0.4">
      <c r="H200">
        <v>5.1501162499999982</v>
      </c>
      <c r="I200">
        <v>185.40418499999993</v>
      </c>
    </row>
    <row r="201" spans="8:9" x14ac:dyDescent="0.4">
      <c r="H201">
        <v>5.6499999999999995</v>
      </c>
      <c r="I201">
        <v>203.39999999999998</v>
      </c>
    </row>
    <row r="202" spans="8:9" x14ac:dyDescent="0.4">
      <c r="H202">
        <v>5.6499999999999995</v>
      </c>
      <c r="I202">
        <v>203.39999999999998</v>
      </c>
    </row>
    <row r="203" spans="8:9" x14ac:dyDescent="0.4">
      <c r="H203">
        <v>5.6499999999999995</v>
      </c>
      <c r="I203">
        <v>203.39999999999998</v>
      </c>
    </row>
    <row r="204" spans="8:9" x14ac:dyDescent="0.4">
      <c r="H204">
        <v>5.6499999999999995</v>
      </c>
      <c r="I204">
        <v>203.39999999999998</v>
      </c>
    </row>
    <row r="205" spans="8:9" x14ac:dyDescent="0.4">
      <c r="H205">
        <v>5.6499999999999995</v>
      </c>
      <c r="I205">
        <v>203.39999999999998</v>
      </c>
    </row>
    <row r="206" spans="8:9" x14ac:dyDescent="0.4">
      <c r="H206">
        <v>5.6499999999999995</v>
      </c>
      <c r="I206">
        <v>203.39999999999998</v>
      </c>
    </row>
    <row r="207" spans="8:9" x14ac:dyDescent="0.4">
      <c r="H207">
        <v>5.6499999999999995</v>
      </c>
      <c r="I207">
        <v>203.39999999999998</v>
      </c>
    </row>
    <row r="208" spans="8:9" x14ac:dyDescent="0.4">
      <c r="H208">
        <v>5.6499999999999995</v>
      </c>
      <c r="I208">
        <v>203.39999999999998</v>
      </c>
    </row>
    <row r="209" spans="8:9" x14ac:dyDescent="0.4">
      <c r="H209">
        <v>5.6499999999999995</v>
      </c>
      <c r="I209">
        <v>203.39999999999998</v>
      </c>
    </row>
    <row r="210" spans="8:9" x14ac:dyDescent="0.4">
      <c r="H210">
        <v>5.6499999999999995</v>
      </c>
      <c r="I210">
        <v>203.39999999999998</v>
      </c>
    </row>
    <row r="211" spans="8:9" x14ac:dyDescent="0.4">
      <c r="H211">
        <v>6.1668337499999994</v>
      </c>
      <c r="I211">
        <v>222.00601499999999</v>
      </c>
    </row>
    <row r="212" spans="8:9" x14ac:dyDescent="0.4">
      <c r="H212">
        <v>6.1668337499999994</v>
      </c>
      <c r="I212">
        <v>222.00601499999999</v>
      </c>
    </row>
    <row r="213" spans="8:9" x14ac:dyDescent="0.4">
      <c r="H213">
        <v>6.1668337499999994</v>
      </c>
      <c r="I213">
        <v>222.00601499999999</v>
      </c>
    </row>
    <row r="214" spans="8:9" x14ac:dyDescent="0.4">
      <c r="H214">
        <v>6.1668337499999994</v>
      </c>
      <c r="I214">
        <v>222.00601499999999</v>
      </c>
    </row>
    <row r="215" spans="8:9" x14ac:dyDescent="0.4">
      <c r="H215">
        <v>6.1668337499999994</v>
      </c>
      <c r="I215">
        <v>222.00601499999999</v>
      </c>
    </row>
    <row r="216" spans="8:9" x14ac:dyDescent="0.4">
      <c r="H216">
        <v>6.1668337499999994</v>
      </c>
      <c r="I216">
        <v>222.00601499999999</v>
      </c>
    </row>
    <row r="217" spans="8:9" x14ac:dyDescent="0.4">
      <c r="H217">
        <v>6.1668337499999994</v>
      </c>
      <c r="I217">
        <v>222.00601499999999</v>
      </c>
    </row>
    <row r="218" spans="8:9" x14ac:dyDescent="0.4">
      <c r="H218">
        <v>6.1668337499999994</v>
      </c>
      <c r="I218">
        <v>222.00601499999999</v>
      </c>
    </row>
    <row r="219" spans="8:9" x14ac:dyDescent="0.4">
      <c r="H219">
        <v>6.1668337499999994</v>
      </c>
      <c r="I219">
        <v>222.00601499999999</v>
      </c>
    </row>
    <row r="220" spans="8:9" x14ac:dyDescent="0.4">
      <c r="H220">
        <v>6.1668337499999994</v>
      </c>
      <c r="I220">
        <v>222.00601499999999</v>
      </c>
    </row>
    <row r="221" spans="8:9" x14ac:dyDescent="0.4">
      <c r="H221">
        <v>6.6997700000000009</v>
      </c>
      <c r="I221">
        <v>241.19172000000003</v>
      </c>
    </row>
    <row r="222" spans="8:9" x14ac:dyDescent="0.4">
      <c r="H222">
        <v>6.6997700000000009</v>
      </c>
      <c r="I222">
        <v>241.19172000000003</v>
      </c>
    </row>
    <row r="223" spans="8:9" x14ac:dyDescent="0.4">
      <c r="H223">
        <v>6.6997700000000009</v>
      </c>
      <c r="I223">
        <v>241.19172000000003</v>
      </c>
    </row>
    <row r="224" spans="8:9" x14ac:dyDescent="0.4">
      <c r="H224">
        <v>6.6997700000000009</v>
      </c>
      <c r="I224">
        <v>241.19172000000003</v>
      </c>
    </row>
    <row r="225" spans="8:9" x14ac:dyDescent="0.4">
      <c r="H225">
        <v>6.6997700000000009</v>
      </c>
      <c r="I225">
        <v>241.19172000000003</v>
      </c>
    </row>
    <row r="226" spans="8:9" x14ac:dyDescent="0.4">
      <c r="H226">
        <v>6.6997700000000009</v>
      </c>
      <c r="I226">
        <v>241.19172000000003</v>
      </c>
    </row>
    <row r="227" spans="8:9" x14ac:dyDescent="0.4">
      <c r="H227">
        <v>6.6997700000000009</v>
      </c>
      <c r="I227">
        <v>241.19172000000003</v>
      </c>
    </row>
    <row r="228" spans="8:9" x14ac:dyDescent="0.4">
      <c r="H228">
        <v>6.6997700000000009</v>
      </c>
      <c r="I228">
        <v>241.19172000000003</v>
      </c>
    </row>
    <row r="229" spans="8:9" x14ac:dyDescent="0.4">
      <c r="H229">
        <v>6.6997700000000009</v>
      </c>
      <c r="I229">
        <v>241.19172000000003</v>
      </c>
    </row>
    <row r="230" spans="8:9" x14ac:dyDescent="0.4">
      <c r="H230">
        <v>6.6997700000000009</v>
      </c>
      <c r="I230">
        <v>241.19172000000003</v>
      </c>
    </row>
    <row r="231" spans="8:9" x14ac:dyDescent="0.4">
      <c r="H231">
        <v>7.2479612499999986</v>
      </c>
      <c r="I231">
        <v>260.92660499999994</v>
      </c>
    </row>
    <row r="232" spans="8:9" x14ac:dyDescent="0.4">
      <c r="H232">
        <v>7.2479612499999986</v>
      </c>
      <c r="I232">
        <v>260.92660499999994</v>
      </c>
    </row>
    <row r="233" spans="8:9" x14ac:dyDescent="0.4">
      <c r="H233">
        <v>7.2479612499999986</v>
      </c>
      <c r="I233">
        <v>260.92660499999994</v>
      </c>
    </row>
    <row r="234" spans="8:9" x14ac:dyDescent="0.4">
      <c r="H234">
        <v>7.2479612499999986</v>
      </c>
      <c r="I234">
        <v>260.92660499999994</v>
      </c>
    </row>
    <row r="235" spans="8:9" x14ac:dyDescent="0.4">
      <c r="H235">
        <v>7.2479612499999986</v>
      </c>
      <c r="I235">
        <v>260.92660499999994</v>
      </c>
    </row>
    <row r="236" spans="8:9" x14ac:dyDescent="0.4">
      <c r="H236">
        <v>7.2479612499999986</v>
      </c>
      <c r="I236">
        <v>260.92660499999994</v>
      </c>
    </row>
    <row r="237" spans="8:9" x14ac:dyDescent="0.4">
      <c r="H237">
        <v>7.2479612499999986</v>
      </c>
      <c r="I237">
        <v>260.92660499999994</v>
      </c>
    </row>
    <row r="238" spans="8:9" x14ac:dyDescent="0.4">
      <c r="H238">
        <v>7.2479612499999986</v>
      </c>
      <c r="I238">
        <v>260.92660499999994</v>
      </c>
    </row>
    <row r="239" spans="8:9" x14ac:dyDescent="0.4">
      <c r="H239">
        <v>7.2479612499999986</v>
      </c>
      <c r="I239">
        <v>260.92660499999994</v>
      </c>
    </row>
    <row r="240" spans="8:9" x14ac:dyDescent="0.4">
      <c r="H240">
        <v>7.2479612499999986</v>
      </c>
      <c r="I240">
        <v>260.92660499999994</v>
      </c>
    </row>
    <row r="241" spans="8:9" x14ac:dyDescent="0.4">
      <c r="H241">
        <v>7.8105600000000006</v>
      </c>
      <c r="I241">
        <v>281.18016</v>
      </c>
    </row>
    <row r="242" spans="8:9" x14ac:dyDescent="0.4">
      <c r="H242">
        <v>7.8105600000000006</v>
      </c>
      <c r="I242">
        <v>281.18016</v>
      </c>
    </row>
    <row r="243" spans="8:9" x14ac:dyDescent="0.4">
      <c r="H243">
        <v>7.8105600000000006</v>
      </c>
      <c r="I243">
        <v>281.18016</v>
      </c>
    </row>
    <row r="244" spans="8:9" x14ac:dyDescent="0.4">
      <c r="H244">
        <v>7.8105600000000006</v>
      </c>
      <c r="I244">
        <v>281.18016</v>
      </c>
    </row>
    <row r="245" spans="8:9" x14ac:dyDescent="0.4">
      <c r="H245">
        <v>7.8105600000000006</v>
      </c>
      <c r="I245">
        <v>281.18016</v>
      </c>
    </row>
    <row r="246" spans="8:9" x14ac:dyDescent="0.4">
      <c r="H246">
        <v>7.8105600000000006</v>
      </c>
      <c r="I246">
        <v>281.18016</v>
      </c>
    </row>
    <row r="247" spans="8:9" x14ac:dyDescent="0.4">
      <c r="H247">
        <v>7.8105600000000006</v>
      </c>
      <c r="I247">
        <v>281.18016</v>
      </c>
    </row>
    <row r="248" spans="8:9" x14ac:dyDescent="0.4">
      <c r="H248">
        <v>7.8105600000000006</v>
      </c>
      <c r="I248">
        <v>281.18016</v>
      </c>
    </row>
    <row r="249" spans="8:9" x14ac:dyDescent="0.4">
      <c r="H249">
        <v>7.8105600000000006</v>
      </c>
      <c r="I249">
        <v>281.18016</v>
      </c>
    </row>
    <row r="250" spans="8:9" x14ac:dyDescent="0.4">
      <c r="H250">
        <v>7.8105600000000006</v>
      </c>
      <c r="I250">
        <v>281.18016</v>
      </c>
    </row>
    <row r="251" spans="8:9" x14ac:dyDescent="0.4">
      <c r="H251">
        <v>8.38671875</v>
      </c>
      <c r="I251">
        <v>301.921875</v>
      </c>
    </row>
    <row r="252" spans="8:9" x14ac:dyDescent="0.4">
      <c r="H252">
        <v>8.38671875</v>
      </c>
      <c r="I252">
        <v>301.921875</v>
      </c>
    </row>
    <row r="253" spans="8:9" x14ac:dyDescent="0.4">
      <c r="H253">
        <v>8.38671875</v>
      </c>
      <c r="I253">
        <v>301.921875</v>
      </c>
    </row>
    <row r="254" spans="8:9" x14ac:dyDescent="0.4">
      <c r="H254">
        <v>8.38671875</v>
      </c>
      <c r="I254">
        <v>301.921875</v>
      </c>
    </row>
    <row r="255" spans="8:9" x14ac:dyDescent="0.4">
      <c r="H255">
        <v>8.38671875</v>
      </c>
      <c r="I255">
        <v>301.921875</v>
      </c>
    </row>
    <row r="256" spans="8:9" x14ac:dyDescent="0.4">
      <c r="H256">
        <v>8.38671875</v>
      </c>
      <c r="I256">
        <v>301.921875</v>
      </c>
    </row>
    <row r="257" spans="8:9" x14ac:dyDescent="0.4">
      <c r="H257">
        <v>8.38671875</v>
      </c>
      <c r="I257">
        <v>301.921875</v>
      </c>
    </row>
    <row r="258" spans="8:9" x14ac:dyDescent="0.4">
      <c r="H258">
        <v>8.38671875</v>
      </c>
      <c r="I258">
        <v>301.921875</v>
      </c>
    </row>
    <row r="259" spans="8:9" x14ac:dyDescent="0.4">
      <c r="H259">
        <v>8.38671875</v>
      </c>
      <c r="I259">
        <v>301.921875</v>
      </c>
    </row>
    <row r="260" spans="8:9" x14ac:dyDescent="0.4">
      <c r="H260">
        <v>8.38671875</v>
      </c>
      <c r="I260">
        <v>301.921875</v>
      </c>
    </row>
    <row r="261" spans="8:9" x14ac:dyDescent="0.4">
      <c r="H261">
        <v>8.9755899999999986</v>
      </c>
      <c r="I261">
        <v>323.12123999999994</v>
      </c>
    </row>
    <row r="262" spans="8:9" x14ac:dyDescent="0.4">
      <c r="H262">
        <v>8.9755899999999986</v>
      </c>
      <c r="I262">
        <v>323.12123999999994</v>
      </c>
    </row>
    <row r="263" spans="8:9" x14ac:dyDescent="0.4">
      <c r="H263">
        <v>8.9755899999999986</v>
      </c>
      <c r="I263">
        <v>323.12123999999994</v>
      </c>
    </row>
    <row r="264" spans="8:9" x14ac:dyDescent="0.4">
      <c r="H264">
        <v>8.9755899999999986</v>
      </c>
      <c r="I264">
        <v>323.12123999999994</v>
      </c>
    </row>
    <row r="265" spans="8:9" x14ac:dyDescent="0.4">
      <c r="H265">
        <v>8.9755899999999986</v>
      </c>
      <c r="I265">
        <v>323.12123999999994</v>
      </c>
    </row>
    <row r="266" spans="8:9" x14ac:dyDescent="0.4">
      <c r="H266">
        <v>8.9755899999999986</v>
      </c>
      <c r="I266">
        <v>323.12123999999994</v>
      </c>
    </row>
    <row r="267" spans="8:9" x14ac:dyDescent="0.4">
      <c r="H267">
        <v>8.9755899999999986</v>
      </c>
      <c r="I267">
        <v>323.12123999999994</v>
      </c>
    </row>
    <row r="268" spans="8:9" x14ac:dyDescent="0.4">
      <c r="H268">
        <v>8.9755899999999986</v>
      </c>
      <c r="I268">
        <v>323.12123999999994</v>
      </c>
    </row>
    <row r="269" spans="8:9" x14ac:dyDescent="0.4">
      <c r="H269">
        <v>8.9755899999999986</v>
      </c>
      <c r="I269">
        <v>323.12123999999994</v>
      </c>
    </row>
    <row r="270" spans="8:9" x14ac:dyDescent="0.4">
      <c r="H270">
        <v>8.9755899999999986</v>
      </c>
      <c r="I270">
        <v>323.12123999999994</v>
      </c>
    </row>
    <row r="271" spans="8:9" x14ac:dyDescent="0.4">
      <c r="H271">
        <v>9.576326250000001</v>
      </c>
      <c r="I271">
        <v>344.74774500000001</v>
      </c>
    </row>
    <row r="272" spans="8:9" x14ac:dyDescent="0.4">
      <c r="H272">
        <v>9.576326250000001</v>
      </c>
      <c r="I272">
        <v>344.74774500000001</v>
      </c>
    </row>
    <row r="273" spans="8:9" x14ac:dyDescent="0.4">
      <c r="H273">
        <v>9.576326250000001</v>
      </c>
      <c r="I273">
        <v>344.74774500000001</v>
      </c>
    </row>
    <row r="274" spans="8:9" x14ac:dyDescent="0.4">
      <c r="H274">
        <v>9.576326250000001</v>
      </c>
      <c r="I274">
        <v>344.74774500000001</v>
      </c>
    </row>
    <row r="275" spans="8:9" x14ac:dyDescent="0.4">
      <c r="H275">
        <v>9.576326250000001</v>
      </c>
      <c r="I275">
        <v>344.74774500000001</v>
      </c>
    </row>
    <row r="276" spans="8:9" x14ac:dyDescent="0.4">
      <c r="H276">
        <v>9.576326250000001</v>
      </c>
      <c r="I276">
        <v>344.74774500000001</v>
      </c>
    </row>
    <row r="277" spans="8:9" x14ac:dyDescent="0.4">
      <c r="H277">
        <v>9.576326250000001</v>
      </c>
      <c r="I277">
        <v>344.74774500000001</v>
      </c>
    </row>
    <row r="278" spans="8:9" x14ac:dyDescent="0.4">
      <c r="H278">
        <v>9.576326250000001</v>
      </c>
      <c r="I278">
        <v>344.74774500000001</v>
      </c>
    </row>
    <row r="279" spans="8:9" x14ac:dyDescent="0.4">
      <c r="H279">
        <v>9.576326250000001</v>
      </c>
      <c r="I279">
        <v>344.74774500000001</v>
      </c>
    </row>
    <row r="280" spans="8:9" x14ac:dyDescent="0.4">
      <c r="H280">
        <v>9.576326250000001</v>
      </c>
      <c r="I280">
        <v>344.74774500000001</v>
      </c>
    </row>
    <row r="281" spans="8:9" x14ac:dyDescent="0.4">
      <c r="H281">
        <v>10.188079999999998</v>
      </c>
      <c r="I281">
        <v>366.77087999999992</v>
      </c>
    </row>
    <row r="282" spans="8:9" x14ac:dyDescent="0.4">
      <c r="H282">
        <v>10.188079999999998</v>
      </c>
      <c r="I282">
        <v>366.77087999999992</v>
      </c>
    </row>
    <row r="283" spans="8:9" x14ac:dyDescent="0.4">
      <c r="H283">
        <v>10.188079999999998</v>
      </c>
      <c r="I283">
        <v>366.77087999999992</v>
      </c>
    </row>
    <row r="284" spans="8:9" x14ac:dyDescent="0.4">
      <c r="H284">
        <v>10.188079999999998</v>
      </c>
      <c r="I284">
        <v>366.77087999999992</v>
      </c>
    </row>
    <row r="285" spans="8:9" x14ac:dyDescent="0.4">
      <c r="H285">
        <v>10.188079999999998</v>
      </c>
      <c r="I285">
        <v>366.77087999999992</v>
      </c>
    </row>
    <row r="286" spans="8:9" x14ac:dyDescent="0.4">
      <c r="H286">
        <v>10.188079999999998</v>
      </c>
      <c r="I286">
        <v>366.77087999999992</v>
      </c>
    </row>
    <row r="287" spans="8:9" x14ac:dyDescent="0.4">
      <c r="H287">
        <v>10.188079999999998</v>
      </c>
      <c r="I287">
        <v>366.77087999999992</v>
      </c>
    </row>
    <row r="288" spans="8:9" x14ac:dyDescent="0.4">
      <c r="H288">
        <v>10.188079999999998</v>
      </c>
      <c r="I288">
        <v>366.77087999999992</v>
      </c>
    </row>
    <row r="289" spans="8:9" x14ac:dyDescent="0.4">
      <c r="H289">
        <v>10.188079999999998</v>
      </c>
      <c r="I289">
        <v>366.77087999999992</v>
      </c>
    </row>
    <row r="290" spans="8:9" x14ac:dyDescent="0.4">
      <c r="H290">
        <v>10.188079999999998</v>
      </c>
      <c r="I290">
        <v>366.77087999999992</v>
      </c>
    </row>
    <row r="291" spans="8:9" x14ac:dyDescent="0.4">
      <c r="H291">
        <v>10.81000375</v>
      </c>
      <c r="I291">
        <v>389.16013499999997</v>
      </c>
    </row>
    <row r="292" spans="8:9" x14ac:dyDescent="0.4">
      <c r="H292">
        <v>10.81000375</v>
      </c>
      <c r="I292">
        <v>389.16013499999997</v>
      </c>
    </row>
    <row r="293" spans="8:9" x14ac:dyDescent="0.4">
      <c r="H293">
        <v>10.81000375</v>
      </c>
      <c r="I293">
        <v>389.16013499999997</v>
      </c>
    </row>
    <row r="294" spans="8:9" x14ac:dyDescent="0.4">
      <c r="H294">
        <v>10.81000375</v>
      </c>
      <c r="I294">
        <v>389.16013499999997</v>
      </c>
    </row>
    <row r="295" spans="8:9" x14ac:dyDescent="0.4">
      <c r="H295">
        <v>10.81000375</v>
      </c>
      <c r="I295">
        <v>389.16013499999997</v>
      </c>
    </row>
    <row r="296" spans="8:9" x14ac:dyDescent="0.4">
      <c r="H296">
        <v>10.81000375</v>
      </c>
      <c r="I296">
        <v>389.16013499999997</v>
      </c>
    </row>
    <row r="297" spans="8:9" x14ac:dyDescent="0.4">
      <c r="H297">
        <v>10.81000375</v>
      </c>
      <c r="I297">
        <v>389.16013499999997</v>
      </c>
    </row>
    <row r="298" spans="8:9" x14ac:dyDescent="0.4">
      <c r="H298">
        <v>10.81000375</v>
      </c>
      <c r="I298">
        <v>389.16013499999997</v>
      </c>
    </row>
    <row r="299" spans="8:9" x14ac:dyDescent="0.4">
      <c r="H299">
        <v>10.81000375</v>
      </c>
      <c r="I299">
        <v>389.16013499999997</v>
      </c>
    </row>
    <row r="300" spans="8:9" x14ac:dyDescent="0.4">
      <c r="H300">
        <v>10.81000375</v>
      </c>
      <c r="I300">
        <v>389.16013499999997</v>
      </c>
    </row>
    <row r="301" spans="8:9" x14ac:dyDescent="0.4">
      <c r="H301">
        <v>11.441249999999998</v>
      </c>
      <c r="I301">
        <v>411.88499999999993</v>
      </c>
    </row>
    <row r="302" spans="8:9" x14ac:dyDescent="0.4">
      <c r="H302">
        <v>11.441249999999998</v>
      </c>
      <c r="I302">
        <v>411.88499999999993</v>
      </c>
    </row>
    <row r="303" spans="8:9" x14ac:dyDescent="0.4">
      <c r="H303">
        <v>11.441249999999998</v>
      </c>
      <c r="I303">
        <v>411.88499999999993</v>
      </c>
    </row>
    <row r="304" spans="8:9" x14ac:dyDescent="0.4">
      <c r="H304">
        <v>11.441249999999998</v>
      </c>
      <c r="I304">
        <v>411.88499999999993</v>
      </c>
    </row>
    <row r="305" spans="8:9" x14ac:dyDescent="0.4">
      <c r="H305">
        <v>11.441249999999998</v>
      </c>
      <c r="I305">
        <v>411.88499999999993</v>
      </c>
    </row>
    <row r="306" spans="8:9" x14ac:dyDescent="0.4">
      <c r="H306">
        <v>11.441249999999998</v>
      </c>
      <c r="I306">
        <v>411.88499999999993</v>
      </c>
    </row>
    <row r="307" spans="8:9" x14ac:dyDescent="0.4">
      <c r="H307">
        <v>11.441249999999998</v>
      </c>
      <c r="I307">
        <v>411.88499999999993</v>
      </c>
    </row>
    <row r="308" spans="8:9" x14ac:dyDescent="0.4">
      <c r="H308">
        <v>11.441249999999998</v>
      </c>
      <c r="I308">
        <v>411.88499999999993</v>
      </c>
    </row>
    <row r="309" spans="8:9" x14ac:dyDescent="0.4">
      <c r="H309">
        <v>11.441249999999998</v>
      </c>
      <c r="I309">
        <v>411.88499999999993</v>
      </c>
    </row>
    <row r="310" spans="8:9" x14ac:dyDescent="0.4">
      <c r="H310">
        <v>11.441249999999998</v>
      </c>
      <c r="I310">
        <v>411.88499999999993</v>
      </c>
    </row>
    <row r="311" spans="8:9" x14ac:dyDescent="0.4">
      <c r="H311">
        <v>12.080971250000003</v>
      </c>
      <c r="I311">
        <v>434.91496500000011</v>
      </c>
    </row>
    <row r="312" spans="8:9" x14ac:dyDescent="0.4">
      <c r="H312">
        <v>12.080971250000003</v>
      </c>
      <c r="I312">
        <v>434.91496500000011</v>
      </c>
    </row>
    <row r="313" spans="8:9" x14ac:dyDescent="0.4">
      <c r="H313">
        <v>12.080971250000003</v>
      </c>
      <c r="I313">
        <v>434.91496500000011</v>
      </c>
    </row>
    <row r="314" spans="8:9" x14ac:dyDescent="0.4">
      <c r="H314">
        <v>12.080971250000003</v>
      </c>
      <c r="I314">
        <v>434.91496500000011</v>
      </c>
    </row>
    <row r="315" spans="8:9" x14ac:dyDescent="0.4">
      <c r="H315">
        <v>12.080971250000003</v>
      </c>
      <c r="I315">
        <v>434.91496500000011</v>
      </c>
    </row>
    <row r="316" spans="8:9" x14ac:dyDescent="0.4">
      <c r="H316">
        <v>12.080971250000003</v>
      </c>
      <c r="I316">
        <v>434.91496500000011</v>
      </c>
    </row>
    <row r="317" spans="8:9" x14ac:dyDescent="0.4">
      <c r="H317">
        <v>12.080971250000003</v>
      </c>
      <c r="I317">
        <v>434.91496500000011</v>
      </c>
    </row>
    <row r="318" spans="8:9" x14ac:dyDescent="0.4">
      <c r="H318">
        <v>12.080971250000003</v>
      </c>
      <c r="I318">
        <v>434.91496500000011</v>
      </c>
    </row>
    <row r="319" spans="8:9" x14ac:dyDescent="0.4">
      <c r="H319">
        <v>12.080971250000003</v>
      </c>
      <c r="I319">
        <v>434.91496500000011</v>
      </c>
    </row>
    <row r="320" spans="8:9" x14ac:dyDescent="0.4">
      <c r="H320">
        <v>12.080971250000003</v>
      </c>
      <c r="I320">
        <v>434.91496500000011</v>
      </c>
    </row>
    <row r="321" spans="8:9" x14ac:dyDescent="0.4">
      <c r="H321">
        <v>12.728320000000002</v>
      </c>
      <c r="I321">
        <v>458.21952000000005</v>
      </c>
    </row>
    <row r="322" spans="8:9" x14ac:dyDescent="0.4">
      <c r="H322">
        <v>12.728320000000002</v>
      </c>
      <c r="I322">
        <v>458.21952000000005</v>
      </c>
    </row>
    <row r="323" spans="8:9" x14ac:dyDescent="0.4">
      <c r="H323">
        <v>12.728320000000002</v>
      </c>
      <c r="I323">
        <v>458.21952000000005</v>
      </c>
    </row>
    <row r="324" spans="8:9" x14ac:dyDescent="0.4">
      <c r="H324">
        <v>12.728320000000002</v>
      </c>
      <c r="I324">
        <v>458.21952000000005</v>
      </c>
    </row>
    <row r="325" spans="8:9" x14ac:dyDescent="0.4">
      <c r="H325">
        <v>12.728320000000002</v>
      </c>
      <c r="I325">
        <v>458.21952000000005</v>
      </c>
    </row>
    <row r="326" spans="8:9" x14ac:dyDescent="0.4">
      <c r="H326">
        <v>12.728320000000002</v>
      </c>
      <c r="I326">
        <v>458.21952000000005</v>
      </c>
    </row>
    <row r="327" spans="8:9" x14ac:dyDescent="0.4">
      <c r="H327">
        <v>12.728320000000002</v>
      </c>
      <c r="I327">
        <v>458.21952000000005</v>
      </c>
    </row>
    <row r="328" spans="8:9" x14ac:dyDescent="0.4">
      <c r="H328">
        <v>12.728320000000002</v>
      </c>
      <c r="I328">
        <v>458.21952000000005</v>
      </c>
    </row>
    <row r="329" spans="8:9" x14ac:dyDescent="0.4">
      <c r="H329">
        <v>12.728320000000002</v>
      </c>
      <c r="I329">
        <v>458.21952000000005</v>
      </c>
    </row>
    <row r="330" spans="8:9" x14ac:dyDescent="0.4">
      <c r="H330">
        <v>12.728320000000002</v>
      </c>
      <c r="I330">
        <v>458.21952000000005</v>
      </c>
    </row>
    <row r="331" spans="8:9" x14ac:dyDescent="0.4">
      <c r="H331">
        <v>13.382448749999996</v>
      </c>
      <c r="I331">
        <v>481.76815499999987</v>
      </c>
    </row>
    <row r="332" spans="8:9" x14ac:dyDescent="0.4">
      <c r="H332">
        <v>13.382448749999996</v>
      </c>
      <c r="I332">
        <v>481.76815499999987</v>
      </c>
    </row>
    <row r="333" spans="8:9" x14ac:dyDescent="0.4">
      <c r="H333">
        <v>13.382448749999996</v>
      </c>
      <c r="I333">
        <v>481.76815499999987</v>
      </c>
    </row>
    <row r="334" spans="8:9" x14ac:dyDescent="0.4">
      <c r="H334">
        <v>13.382448749999996</v>
      </c>
      <c r="I334">
        <v>481.76815499999987</v>
      </c>
    </row>
    <row r="335" spans="8:9" x14ac:dyDescent="0.4">
      <c r="H335">
        <v>13.382448749999996</v>
      </c>
      <c r="I335">
        <v>481.76815499999987</v>
      </c>
    </row>
    <row r="336" spans="8:9" x14ac:dyDescent="0.4">
      <c r="H336">
        <v>13.382448749999996</v>
      </c>
      <c r="I336">
        <v>481.76815499999987</v>
      </c>
    </row>
    <row r="337" spans="8:9" x14ac:dyDescent="0.4">
      <c r="H337">
        <v>13.382448749999996</v>
      </c>
      <c r="I337">
        <v>481.76815499999987</v>
      </c>
    </row>
    <row r="338" spans="8:9" x14ac:dyDescent="0.4">
      <c r="H338">
        <v>13.382448749999996</v>
      </c>
      <c r="I338">
        <v>481.76815499999987</v>
      </c>
    </row>
    <row r="339" spans="8:9" x14ac:dyDescent="0.4">
      <c r="H339">
        <v>13.382448749999996</v>
      </c>
      <c r="I339">
        <v>481.76815499999987</v>
      </c>
    </row>
    <row r="340" spans="8:9" x14ac:dyDescent="0.4">
      <c r="H340">
        <v>13.382448749999996</v>
      </c>
      <c r="I340">
        <v>481.76815499999987</v>
      </c>
    </row>
    <row r="341" spans="8:9" x14ac:dyDescent="0.4">
      <c r="H341">
        <v>14.042510000000002</v>
      </c>
      <c r="I341">
        <v>505.53036000000009</v>
      </c>
    </row>
    <row r="342" spans="8:9" x14ac:dyDescent="0.4">
      <c r="H342">
        <v>14.042510000000002</v>
      </c>
      <c r="I342">
        <v>505.53036000000009</v>
      </c>
    </row>
    <row r="343" spans="8:9" x14ac:dyDescent="0.4">
      <c r="H343">
        <v>14.042510000000002</v>
      </c>
      <c r="I343">
        <v>505.53036000000009</v>
      </c>
    </row>
    <row r="344" spans="8:9" x14ac:dyDescent="0.4">
      <c r="H344">
        <v>14.042510000000002</v>
      </c>
      <c r="I344">
        <v>505.53036000000009</v>
      </c>
    </row>
    <row r="345" spans="8:9" x14ac:dyDescent="0.4">
      <c r="H345">
        <v>14.042510000000002</v>
      </c>
      <c r="I345">
        <v>505.53036000000009</v>
      </c>
    </row>
    <row r="346" spans="8:9" x14ac:dyDescent="0.4">
      <c r="H346">
        <v>14.042510000000002</v>
      </c>
      <c r="I346">
        <v>505.53036000000009</v>
      </c>
    </row>
    <row r="347" spans="8:9" x14ac:dyDescent="0.4">
      <c r="H347">
        <v>14.042510000000002</v>
      </c>
      <c r="I347">
        <v>505.53036000000009</v>
      </c>
    </row>
    <row r="348" spans="8:9" x14ac:dyDescent="0.4">
      <c r="H348">
        <v>14.042510000000002</v>
      </c>
      <c r="I348">
        <v>505.53036000000009</v>
      </c>
    </row>
    <row r="349" spans="8:9" x14ac:dyDescent="0.4">
      <c r="H349">
        <v>14.042510000000002</v>
      </c>
      <c r="I349">
        <v>505.53036000000009</v>
      </c>
    </row>
    <row r="350" spans="8:9" x14ac:dyDescent="0.4">
      <c r="H350">
        <v>14.042510000000002</v>
      </c>
      <c r="I350">
        <v>505.53036000000009</v>
      </c>
    </row>
    <row r="351" spans="8:9" x14ac:dyDescent="0.4">
      <c r="H351">
        <v>14.707656249999999</v>
      </c>
      <c r="I351">
        <v>529.47562500000004</v>
      </c>
    </row>
    <row r="352" spans="8:9" x14ac:dyDescent="0.4">
      <c r="H352">
        <v>14.707656249999999</v>
      </c>
      <c r="I352">
        <v>529.47562500000004</v>
      </c>
    </row>
    <row r="353" spans="8:9" x14ac:dyDescent="0.4">
      <c r="H353">
        <v>14.707656249999999</v>
      </c>
      <c r="I353">
        <v>529.47562500000004</v>
      </c>
    </row>
    <row r="354" spans="8:9" x14ac:dyDescent="0.4">
      <c r="H354">
        <v>14.707656249999999</v>
      </c>
      <c r="I354">
        <v>529.47562500000004</v>
      </c>
    </row>
    <row r="355" spans="8:9" x14ac:dyDescent="0.4">
      <c r="H355">
        <v>14.707656249999999</v>
      </c>
      <c r="I355">
        <v>529.47562500000004</v>
      </c>
    </row>
    <row r="356" spans="8:9" x14ac:dyDescent="0.4">
      <c r="H356">
        <v>14.707656249999999</v>
      </c>
      <c r="I356">
        <v>529.47562500000004</v>
      </c>
    </row>
    <row r="357" spans="8:9" x14ac:dyDescent="0.4">
      <c r="H357">
        <v>14.707656249999999</v>
      </c>
      <c r="I357">
        <v>529.47562500000004</v>
      </c>
    </row>
    <row r="358" spans="8:9" x14ac:dyDescent="0.4">
      <c r="H358">
        <v>14.707656249999999</v>
      </c>
      <c r="I358">
        <v>529.47562500000004</v>
      </c>
    </row>
    <row r="359" spans="8:9" x14ac:dyDescent="0.4">
      <c r="H359">
        <v>14.707656249999999</v>
      </c>
      <c r="I359">
        <v>529.47562500000004</v>
      </c>
    </row>
    <row r="360" spans="8:9" x14ac:dyDescent="0.4">
      <c r="H360">
        <v>14.707656249999999</v>
      </c>
      <c r="I360">
        <v>529.47562500000004</v>
      </c>
    </row>
    <row r="361" spans="8:9" x14ac:dyDescent="0.4">
      <c r="H361">
        <v>15.377039999999999</v>
      </c>
      <c r="I361">
        <v>553.57344000000001</v>
      </c>
    </row>
    <row r="362" spans="8:9" x14ac:dyDescent="0.4">
      <c r="H362">
        <v>15.377039999999999</v>
      </c>
      <c r="I362">
        <v>553.57344000000001</v>
      </c>
    </row>
    <row r="363" spans="8:9" x14ac:dyDescent="0.4">
      <c r="H363">
        <v>15.377039999999999</v>
      </c>
      <c r="I363">
        <v>553.57344000000001</v>
      </c>
    </row>
    <row r="364" spans="8:9" x14ac:dyDescent="0.4">
      <c r="H364">
        <v>15.377039999999999</v>
      </c>
      <c r="I364">
        <v>553.57344000000001</v>
      </c>
    </row>
    <row r="365" spans="8:9" x14ac:dyDescent="0.4">
      <c r="H365">
        <v>15.377039999999999</v>
      </c>
      <c r="I365">
        <v>553.57344000000001</v>
      </c>
    </row>
    <row r="366" spans="8:9" x14ac:dyDescent="0.4">
      <c r="H366">
        <v>15.377039999999999</v>
      </c>
      <c r="I366">
        <v>553.57344000000001</v>
      </c>
    </row>
    <row r="367" spans="8:9" x14ac:dyDescent="0.4">
      <c r="H367">
        <v>15.377039999999999</v>
      </c>
      <c r="I367">
        <v>553.57344000000001</v>
      </c>
    </row>
    <row r="368" spans="8:9" x14ac:dyDescent="0.4">
      <c r="H368">
        <v>15.377039999999999</v>
      </c>
      <c r="I368">
        <v>553.57344000000001</v>
      </c>
    </row>
    <row r="369" spans="8:9" x14ac:dyDescent="0.4">
      <c r="H369">
        <v>15.377039999999999</v>
      </c>
      <c r="I369">
        <v>553.57344000000001</v>
      </c>
    </row>
    <row r="370" spans="8:9" x14ac:dyDescent="0.4">
      <c r="H370">
        <v>15.377039999999999</v>
      </c>
      <c r="I370">
        <v>553.57344000000001</v>
      </c>
    </row>
    <row r="371" spans="8:9" x14ac:dyDescent="0.4">
      <c r="H371">
        <v>16.049813750000002</v>
      </c>
      <c r="I371">
        <v>577.79329500000006</v>
      </c>
    </row>
    <row r="372" spans="8:9" x14ac:dyDescent="0.4">
      <c r="H372">
        <v>16.049813750000002</v>
      </c>
      <c r="I372">
        <v>577.79329500000006</v>
      </c>
    </row>
    <row r="373" spans="8:9" x14ac:dyDescent="0.4">
      <c r="H373">
        <v>16.049813750000002</v>
      </c>
      <c r="I373">
        <v>577.79329500000006</v>
      </c>
    </row>
    <row r="374" spans="8:9" x14ac:dyDescent="0.4">
      <c r="H374">
        <v>16.049813750000002</v>
      </c>
      <c r="I374">
        <v>577.79329500000006</v>
      </c>
    </row>
    <row r="375" spans="8:9" x14ac:dyDescent="0.4">
      <c r="H375">
        <v>16.049813750000002</v>
      </c>
      <c r="I375">
        <v>577.79329500000006</v>
      </c>
    </row>
    <row r="376" spans="8:9" x14ac:dyDescent="0.4">
      <c r="H376">
        <v>16.049813750000002</v>
      </c>
      <c r="I376">
        <v>577.79329500000006</v>
      </c>
    </row>
    <row r="377" spans="8:9" x14ac:dyDescent="0.4">
      <c r="H377">
        <v>16.049813750000002</v>
      </c>
      <c r="I377">
        <v>577.79329500000006</v>
      </c>
    </row>
    <row r="378" spans="8:9" x14ac:dyDescent="0.4">
      <c r="H378">
        <v>16.049813750000002</v>
      </c>
      <c r="I378">
        <v>577.79329500000006</v>
      </c>
    </row>
    <row r="379" spans="8:9" x14ac:dyDescent="0.4">
      <c r="H379">
        <v>16.049813750000002</v>
      </c>
      <c r="I379">
        <v>577.79329500000006</v>
      </c>
    </row>
    <row r="380" spans="8:9" x14ac:dyDescent="0.4">
      <c r="H380">
        <v>16.049813750000002</v>
      </c>
      <c r="I380">
        <v>577.79329500000006</v>
      </c>
    </row>
    <row r="381" spans="8:9" x14ac:dyDescent="0.4">
      <c r="H381">
        <v>16.725129999999993</v>
      </c>
      <c r="I381">
        <v>602.10467999999969</v>
      </c>
    </row>
    <row r="382" spans="8:9" x14ac:dyDescent="0.4">
      <c r="H382">
        <v>16.725129999999993</v>
      </c>
      <c r="I382">
        <v>602.10467999999969</v>
      </c>
    </row>
    <row r="383" spans="8:9" x14ac:dyDescent="0.4">
      <c r="H383">
        <v>16.725129999999993</v>
      </c>
      <c r="I383">
        <v>602.10467999999969</v>
      </c>
    </row>
    <row r="384" spans="8:9" x14ac:dyDescent="0.4">
      <c r="H384">
        <v>16.725129999999993</v>
      </c>
      <c r="I384">
        <v>602.10467999999969</v>
      </c>
    </row>
    <row r="385" spans="8:9" x14ac:dyDescent="0.4">
      <c r="H385">
        <v>16.725129999999993</v>
      </c>
      <c r="I385">
        <v>602.10467999999969</v>
      </c>
    </row>
    <row r="386" spans="8:9" x14ac:dyDescent="0.4">
      <c r="H386">
        <v>16.725129999999993</v>
      </c>
      <c r="I386">
        <v>602.10467999999969</v>
      </c>
    </row>
    <row r="387" spans="8:9" x14ac:dyDescent="0.4">
      <c r="H387">
        <v>16.725129999999993</v>
      </c>
      <c r="I387">
        <v>602.10467999999969</v>
      </c>
    </row>
    <row r="388" spans="8:9" x14ac:dyDescent="0.4">
      <c r="H388">
        <v>16.725129999999993</v>
      </c>
      <c r="I388">
        <v>602.10467999999969</v>
      </c>
    </row>
    <row r="389" spans="8:9" x14ac:dyDescent="0.4">
      <c r="H389">
        <v>16.725129999999993</v>
      </c>
      <c r="I389">
        <v>602.10467999999969</v>
      </c>
    </row>
    <row r="390" spans="8:9" x14ac:dyDescent="0.4">
      <c r="H390">
        <v>16.725129999999993</v>
      </c>
      <c r="I390">
        <v>602.10467999999969</v>
      </c>
    </row>
    <row r="391" spans="8:9" x14ac:dyDescent="0.4">
      <c r="H391">
        <v>17.402141249999996</v>
      </c>
      <c r="I391">
        <v>626.47708499999987</v>
      </c>
    </row>
    <row r="392" spans="8:9" x14ac:dyDescent="0.4">
      <c r="H392">
        <v>17.402141249999996</v>
      </c>
      <c r="I392">
        <v>626.47708499999987</v>
      </c>
    </row>
    <row r="393" spans="8:9" x14ac:dyDescent="0.4">
      <c r="H393">
        <v>17.402141249999996</v>
      </c>
      <c r="I393">
        <v>626.47708499999987</v>
      </c>
    </row>
    <row r="394" spans="8:9" x14ac:dyDescent="0.4">
      <c r="H394">
        <v>17.402141249999996</v>
      </c>
      <c r="I394">
        <v>626.47708499999987</v>
      </c>
    </row>
    <row r="395" spans="8:9" x14ac:dyDescent="0.4">
      <c r="H395">
        <v>17.402141249999996</v>
      </c>
      <c r="I395">
        <v>626.47708499999987</v>
      </c>
    </row>
    <row r="396" spans="8:9" x14ac:dyDescent="0.4">
      <c r="H396">
        <v>17.402141249999996</v>
      </c>
      <c r="I396">
        <v>626.47708499999987</v>
      </c>
    </row>
    <row r="397" spans="8:9" x14ac:dyDescent="0.4">
      <c r="H397">
        <v>17.402141249999996</v>
      </c>
      <c r="I397">
        <v>626.47708499999987</v>
      </c>
    </row>
    <row r="398" spans="8:9" x14ac:dyDescent="0.4">
      <c r="H398">
        <v>17.402141249999996</v>
      </c>
      <c r="I398">
        <v>626.47708499999987</v>
      </c>
    </row>
    <row r="399" spans="8:9" x14ac:dyDescent="0.4">
      <c r="H399">
        <v>17.402141249999996</v>
      </c>
      <c r="I399">
        <v>626.47708499999987</v>
      </c>
    </row>
    <row r="400" spans="8:9" x14ac:dyDescent="0.4">
      <c r="H400">
        <v>17.402141249999996</v>
      </c>
      <c r="I400">
        <v>626.47708499999987</v>
      </c>
    </row>
    <row r="401" spans="8:9" x14ac:dyDescent="0.4">
      <c r="H401">
        <v>18.079999999999998</v>
      </c>
      <c r="I401">
        <v>650.87999999999988</v>
      </c>
    </row>
    <row r="402" spans="8:9" x14ac:dyDescent="0.4">
      <c r="H402">
        <v>18.079999999999998</v>
      </c>
      <c r="I402">
        <v>650.87999999999988</v>
      </c>
    </row>
    <row r="403" spans="8:9" x14ac:dyDescent="0.4">
      <c r="H403">
        <v>18.079999999999998</v>
      </c>
      <c r="I403">
        <v>650.87999999999988</v>
      </c>
    </row>
    <row r="404" spans="8:9" x14ac:dyDescent="0.4">
      <c r="H404">
        <v>18.079999999999998</v>
      </c>
      <c r="I404">
        <v>650.87999999999988</v>
      </c>
    </row>
    <row r="405" spans="8:9" x14ac:dyDescent="0.4">
      <c r="H405">
        <v>18.079999999999998</v>
      </c>
      <c r="I405">
        <v>650.87999999999988</v>
      </c>
    </row>
    <row r="406" spans="8:9" x14ac:dyDescent="0.4">
      <c r="H406">
        <v>18.079999999999998</v>
      </c>
      <c r="I406">
        <v>650.87999999999988</v>
      </c>
    </row>
    <row r="407" spans="8:9" x14ac:dyDescent="0.4">
      <c r="H407">
        <v>18.079999999999998</v>
      </c>
      <c r="I407">
        <v>650.87999999999988</v>
      </c>
    </row>
    <row r="408" spans="8:9" x14ac:dyDescent="0.4">
      <c r="H408">
        <v>18.079999999999998</v>
      </c>
      <c r="I408">
        <v>650.87999999999988</v>
      </c>
    </row>
    <row r="409" spans="8:9" x14ac:dyDescent="0.4">
      <c r="H409">
        <v>18.079999999999998</v>
      </c>
      <c r="I409">
        <v>650.87999999999988</v>
      </c>
    </row>
    <row r="410" spans="8:9" x14ac:dyDescent="0.4">
      <c r="H410">
        <v>18.079999999999998</v>
      </c>
      <c r="I410">
        <v>650.87999999999988</v>
      </c>
    </row>
    <row r="411" spans="8:9" x14ac:dyDescent="0.4">
      <c r="H411">
        <v>18.757858749999997</v>
      </c>
      <c r="I411">
        <v>675.28291499999989</v>
      </c>
    </row>
    <row r="412" spans="8:9" x14ac:dyDescent="0.4">
      <c r="H412">
        <v>18.757858749999997</v>
      </c>
      <c r="I412">
        <v>675.28291499999989</v>
      </c>
    </row>
    <row r="413" spans="8:9" x14ac:dyDescent="0.4">
      <c r="H413">
        <v>18.757858749999997</v>
      </c>
      <c r="I413">
        <v>675.28291499999989</v>
      </c>
    </row>
    <row r="414" spans="8:9" x14ac:dyDescent="0.4">
      <c r="H414">
        <v>18.757858749999997</v>
      </c>
      <c r="I414">
        <v>675.28291499999989</v>
      </c>
    </row>
    <row r="415" spans="8:9" x14ac:dyDescent="0.4">
      <c r="H415">
        <v>18.757858749999997</v>
      </c>
      <c r="I415">
        <v>675.28291499999989</v>
      </c>
    </row>
    <row r="416" spans="8:9" x14ac:dyDescent="0.4">
      <c r="H416">
        <v>18.757858749999997</v>
      </c>
      <c r="I416">
        <v>675.28291499999989</v>
      </c>
    </row>
    <row r="417" spans="8:9" x14ac:dyDescent="0.4">
      <c r="H417">
        <v>18.757858749999997</v>
      </c>
      <c r="I417">
        <v>675.28291499999989</v>
      </c>
    </row>
    <row r="418" spans="8:9" x14ac:dyDescent="0.4">
      <c r="H418">
        <v>18.757858749999997</v>
      </c>
      <c r="I418">
        <v>675.28291499999989</v>
      </c>
    </row>
    <row r="419" spans="8:9" x14ac:dyDescent="0.4">
      <c r="H419">
        <v>18.757858749999997</v>
      </c>
      <c r="I419">
        <v>675.28291499999989</v>
      </c>
    </row>
    <row r="420" spans="8:9" x14ac:dyDescent="0.4">
      <c r="H420">
        <v>18.757858749999997</v>
      </c>
      <c r="I420">
        <v>675.28291499999989</v>
      </c>
    </row>
    <row r="421" spans="8:9" x14ac:dyDescent="0.4">
      <c r="H421">
        <v>19.434869999999997</v>
      </c>
      <c r="I421">
        <v>699.65531999999985</v>
      </c>
    </row>
    <row r="422" spans="8:9" x14ac:dyDescent="0.4">
      <c r="H422">
        <v>19.434869999999997</v>
      </c>
      <c r="I422">
        <v>699.65531999999985</v>
      </c>
    </row>
    <row r="423" spans="8:9" x14ac:dyDescent="0.4">
      <c r="H423">
        <v>19.434869999999997</v>
      </c>
      <c r="I423">
        <v>699.65531999999985</v>
      </c>
    </row>
    <row r="424" spans="8:9" x14ac:dyDescent="0.4">
      <c r="H424">
        <v>19.434869999999997</v>
      </c>
      <c r="I424">
        <v>699.65531999999985</v>
      </c>
    </row>
    <row r="425" spans="8:9" x14ac:dyDescent="0.4">
      <c r="H425">
        <v>19.434869999999997</v>
      </c>
      <c r="I425">
        <v>699.65531999999985</v>
      </c>
    </row>
    <row r="426" spans="8:9" x14ac:dyDescent="0.4">
      <c r="H426">
        <v>19.434869999999997</v>
      </c>
      <c r="I426">
        <v>699.65531999999985</v>
      </c>
    </row>
    <row r="427" spans="8:9" x14ac:dyDescent="0.4">
      <c r="H427">
        <v>19.434869999999997</v>
      </c>
      <c r="I427">
        <v>699.65531999999985</v>
      </c>
    </row>
    <row r="428" spans="8:9" x14ac:dyDescent="0.4">
      <c r="H428">
        <v>19.434869999999997</v>
      </c>
      <c r="I428">
        <v>699.65531999999985</v>
      </c>
    </row>
    <row r="429" spans="8:9" x14ac:dyDescent="0.4">
      <c r="H429">
        <v>19.434869999999997</v>
      </c>
      <c r="I429">
        <v>699.65531999999985</v>
      </c>
    </row>
    <row r="430" spans="8:9" x14ac:dyDescent="0.4">
      <c r="H430">
        <v>19.434869999999997</v>
      </c>
      <c r="I430">
        <v>699.65531999999985</v>
      </c>
    </row>
    <row r="431" spans="8:9" x14ac:dyDescent="0.4">
      <c r="H431">
        <v>20.110186249999998</v>
      </c>
      <c r="I431">
        <v>723.96670499999993</v>
      </c>
    </row>
    <row r="432" spans="8:9" x14ac:dyDescent="0.4">
      <c r="H432">
        <v>20.110186249999998</v>
      </c>
      <c r="I432">
        <v>723.96670499999993</v>
      </c>
    </row>
    <row r="433" spans="8:9" x14ac:dyDescent="0.4">
      <c r="H433">
        <v>20.110186249999998</v>
      </c>
      <c r="I433">
        <v>723.96670499999993</v>
      </c>
    </row>
    <row r="434" spans="8:9" x14ac:dyDescent="0.4">
      <c r="H434">
        <v>20.110186249999998</v>
      </c>
      <c r="I434">
        <v>723.96670499999993</v>
      </c>
    </row>
    <row r="435" spans="8:9" x14ac:dyDescent="0.4">
      <c r="H435">
        <v>20.110186249999998</v>
      </c>
      <c r="I435">
        <v>723.96670499999993</v>
      </c>
    </row>
    <row r="436" spans="8:9" x14ac:dyDescent="0.4">
      <c r="H436">
        <v>20.110186249999998</v>
      </c>
      <c r="I436">
        <v>723.96670499999993</v>
      </c>
    </row>
    <row r="437" spans="8:9" x14ac:dyDescent="0.4">
      <c r="H437">
        <v>20.110186249999998</v>
      </c>
      <c r="I437">
        <v>723.96670499999993</v>
      </c>
    </row>
    <row r="438" spans="8:9" x14ac:dyDescent="0.4">
      <c r="H438">
        <v>20.110186249999998</v>
      </c>
      <c r="I438">
        <v>723.96670499999993</v>
      </c>
    </row>
    <row r="439" spans="8:9" x14ac:dyDescent="0.4">
      <c r="H439">
        <v>20.110186249999998</v>
      </c>
      <c r="I439">
        <v>723.96670499999993</v>
      </c>
    </row>
    <row r="440" spans="8:9" x14ac:dyDescent="0.4">
      <c r="H440">
        <v>20.110186249999998</v>
      </c>
      <c r="I440">
        <v>723.96670499999993</v>
      </c>
    </row>
    <row r="441" spans="8:9" x14ac:dyDescent="0.4">
      <c r="H441">
        <v>20.782960000000003</v>
      </c>
      <c r="I441">
        <v>748.1865600000001</v>
      </c>
    </row>
    <row r="442" spans="8:9" x14ac:dyDescent="0.4">
      <c r="H442">
        <v>20.782960000000003</v>
      </c>
      <c r="I442">
        <v>748.1865600000001</v>
      </c>
    </row>
    <row r="443" spans="8:9" x14ac:dyDescent="0.4">
      <c r="H443">
        <v>20.782960000000003</v>
      </c>
      <c r="I443">
        <v>748.1865600000001</v>
      </c>
    </row>
    <row r="444" spans="8:9" x14ac:dyDescent="0.4">
      <c r="H444">
        <v>20.782960000000003</v>
      </c>
      <c r="I444">
        <v>748.1865600000001</v>
      </c>
    </row>
    <row r="445" spans="8:9" x14ac:dyDescent="0.4">
      <c r="H445">
        <v>20.782960000000003</v>
      </c>
      <c r="I445">
        <v>748.1865600000001</v>
      </c>
    </row>
    <row r="446" spans="8:9" x14ac:dyDescent="0.4">
      <c r="H446">
        <v>20.782960000000003</v>
      </c>
      <c r="I446">
        <v>748.1865600000001</v>
      </c>
    </row>
    <row r="447" spans="8:9" x14ac:dyDescent="0.4">
      <c r="H447">
        <v>20.782960000000003</v>
      </c>
      <c r="I447">
        <v>748.1865600000001</v>
      </c>
    </row>
    <row r="448" spans="8:9" x14ac:dyDescent="0.4">
      <c r="H448">
        <v>20.782960000000003</v>
      </c>
      <c r="I448">
        <v>748.1865600000001</v>
      </c>
    </row>
    <row r="449" spans="8:9" x14ac:dyDescent="0.4">
      <c r="H449">
        <v>20.782960000000003</v>
      </c>
      <c r="I449">
        <v>748.1865600000001</v>
      </c>
    </row>
    <row r="450" spans="8:9" x14ac:dyDescent="0.4">
      <c r="H450">
        <v>20.782960000000003</v>
      </c>
      <c r="I450">
        <v>748.1865600000001</v>
      </c>
    </row>
    <row r="451" spans="8:9" x14ac:dyDescent="0.4">
      <c r="H451">
        <v>21.452343749999997</v>
      </c>
      <c r="I451">
        <v>772.28437499999995</v>
      </c>
    </row>
    <row r="452" spans="8:9" x14ac:dyDescent="0.4">
      <c r="H452">
        <v>21.452343749999997</v>
      </c>
      <c r="I452">
        <v>772.28437499999995</v>
      </c>
    </row>
    <row r="453" spans="8:9" x14ac:dyDescent="0.4">
      <c r="H453">
        <v>21.452343749999997</v>
      </c>
      <c r="I453">
        <v>772.28437499999995</v>
      </c>
    </row>
    <row r="454" spans="8:9" x14ac:dyDescent="0.4">
      <c r="H454">
        <v>21.452343749999997</v>
      </c>
      <c r="I454">
        <v>772.28437499999995</v>
      </c>
    </row>
    <row r="455" spans="8:9" x14ac:dyDescent="0.4">
      <c r="H455">
        <v>21.452343749999997</v>
      </c>
      <c r="I455">
        <v>772.28437499999995</v>
      </c>
    </row>
    <row r="456" spans="8:9" x14ac:dyDescent="0.4">
      <c r="H456">
        <v>21.452343749999997</v>
      </c>
      <c r="I456">
        <v>772.28437499999995</v>
      </c>
    </row>
    <row r="457" spans="8:9" x14ac:dyDescent="0.4">
      <c r="H457">
        <v>21.452343749999997</v>
      </c>
      <c r="I457">
        <v>772.28437499999995</v>
      </c>
    </row>
    <row r="458" spans="8:9" x14ac:dyDescent="0.4">
      <c r="H458">
        <v>21.452343749999997</v>
      </c>
      <c r="I458">
        <v>772.28437499999995</v>
      </c>
    </row>
    <row r="459" spans="8:9" x14ac:dyDescent="0.4">
      <c r="H459">
        <v>21.452343749999997</v>
      </c>
      <c r="I459">
        <v>772.28437499999995</v>
      </c>
    </row>
    <row r="460" spans="8:9" x14ac:dyDescent="0.4">
      <c r="H460">
        <v>21.452343749999997</v>
      </c>
      <c r="I460">
        <v>772.28437499999995</v>
      </c>
    </row>
    <row r="461" spans="8:9" x14ac:dyDescent="0.4">
      <c r="H461">
        <v>22.11749</v>
      </c>
      <c r="I461">
        <v>796.22964000000002</v>
      </c>
    </row>
    <row r="462" spans="8:9" x14ac:dyDescent="0.4">
      <c r="H462">
        <v>22.11749</v>
      </c>
      <c r="I462">
        <v>796.22964000000002</v>
      </c>
    </row>
    <row r="463" spans="8:9" x14ac:dyDescent="0.4">
      <c r="H463">
        <v>22.11749</v>
      </c>
      <c r="I463">
        <v>796.22964000000002</v>
      </c>
    </row>
    <row r="464" spans="8:9" x14ac:dyDescent="0.4">
      <c r="H464">
        <v>22.11749</v>
      </c>
      <c r="I464">
        <v>796.22964000000002</v>
      </c>
    </row>
    <row r="465" spans="8:9" x14ac:dyDescent="0.4">
      <c r="H465">
        <v>22.11749</v>
      </c>
      <c r="I465">
        <v>796.22964000000002</v>
      </c>
    </row>
    <row r="466" spans="8:9" x14ac:dyDescent="0.4">
      <c r="H466">
        <v>22.11749</v>
      </c>
      <c r="I466">
        <v>796.22964000000002</v>
      </c>
    </row>
    <row r="467" spans="8:9" x14ac:dyDescent="0.4">
      <c r="H467">
        <v>22.11749</v>
      </c>
      <c r="I467">
        <v>796.22964000000002</v>
      </c>
    </row>
    <row r="468" spans="8:9" x14ac:dyDescent="0.4">
      <c r="H468">
        <v>22.11749</v>
      </c>
      <c r="I468">
        <v>796.22964000000002</v>
      </c>
    </row>
    <row r="469" spans="8:9" x14ac:dyDescent="0.4">
      <c r="H469">
        <v>22.11749</v>
      </c>
      <c r="I469">
        <v>796.22964000000002</v>
      </c>
    </row>
    <row r="470" spans="8:9" x14ac:dyDescent="0.4">
      <c r="H470">
        <v>22.11749</v>
      </c>
      <c r="I470">
        <v>796.22964000000002</v>
      </c>
    </row>
    <row r="471" spans="8:9" x14ac:dyDescent="0.4">
      <c r="H471">
        <v>22.777551249999998</v>
      </c>
      <c r="I471">
        <v>819.9918449999999</v>
      </c>
    </row>
    <row r="472" spans="8:9" x14ac:dyDescent="0.4">
      <c r="H472">
        <v>22.777551249999998</v>
      </c>
      <c r="I472">
        <v>819.9918449999999</v>
      </c>
    </row>
    <row r="473" spans="8:9" x14ac:dyDescent="0.4">
      <c r="H473">
        <v>22.777551249999998</v>
      </c>
      <c r="I473">
        <v>819.9918449999999</v>
      </c>
    </row>
    <row r="474" spans="8:9" x14ac:dyDescent="0.4">
      <c r="H474">
        <v>22.777551249999998</v>
      </c>
      <c r="I474">
        <v>819.9918449999999</v>
      </c>
    </row>
    <row r="475" spans="8:9" x14ac:dyDescent="0.4">
      <c r="H475">
        <v>22.777551249999998</v>
      </c>
      <c r="I475">
        <v>819.9918449999999</v>
      </c>
    </row>
    <row r="476" spans="8:9" x14ac:dyDescent="0.4">
      <c r="H476">
        <v>22.777551249999998</v>
      </c>
      <c r="I476">
        <v>819.9918449999999</v>
      </c>
    </row>
    <row r="477" spans="8:9" x14ac:dyDescent="0.4">
      <c r="H477">
        <v>22.777551249999998</v>
      </c>
      <c r="I477">
        <v>819.9918449999999</v>
      </c>
    </row>
    <row r="478" spans="8:9" x14ac:dyDescent="0.4">
      <c r="H478">
        <v>22.777551249999998</v>
      </c>
      <c r="I478">
        <v>819.9918449999999</v>
      </c>
    </row>
    <row r="479" spans="8:9" x14ac:dyDescent="0.4">
      <c r="H479">
        <v>22.777551249999998</v>
      </c>
      <c r="I479">
        <v>819.9918449999999</v>
      </c>
    </row>
    <row r="480" spans="8:9" x14ac:dyDescent="0.4">
      <c r="H480">
        <v>22.777551249999998</v>
      </c>
      <c r="I480">
        <v>819.9918449999999</v>
      </c>
    </row>
    <row r="481" spans="8:9" x14ac:dyDescent="0.4">
      <c r="H481">
        <v>23.431680000000004</v>
      </c>
      <c r="I481">
        <v>843.54048000000012</v>
      </c>
    </row>
    <row r="482" spans="8:9" x14ac:dyDescent="0.4">
      <c r="H482">
        <v>23.431680000000004</v>
      </c>
      <c r="I482">
        <v>843.54048000000012</v>
      </c>
    </row>
    <row r="483" spans="8:9" x14ac:dyDescent="0.4">
      <c r="H483">
        <v>23.431680000000004</v>
      </c>
      <c r="I483">
        <v>843.54048000000012</v>
      </c>
    </row>
    <row r="484" spans="8:9" x14ac:dyDescent="0.4">
      <c r="H484">
        <v>23.431680000000004</v>
      </c>
      <c r="I484">
        <v>843.54048000000012</v>
      </c>
    </row>
    <row r="485" spans="8:9" x14ac:dyDescent="0.4">
      <c r="H485">
        <v>23.431680000000004</v>
      </c>
      <c r="I485">
        <v>843.54048000000012</v>
      </c>
    </row>
    <row r="486" spans="8:9" x14ac:dyDescent="0.4">
      <c r="H486">
        <v>23.431680000000004</v>
      </c>
      <c r="I486">
        <v>843.54048000000012</v>
      </c>
    </row>
    <row r="487" spans="8:9" x14ac:dyDescent="0.4">
      <c r="H487">
        <v>23.431680000000004</v>
      </c>
      <c r="I487">
        <v>843.54048000000012</v>
      </c>
    </row>
    <row r="488" spans="8:9" x14ac:dyDescent="0.4">
      <c r="H488">
        <v>23.431680000000004</v>
      </c>
      <c r="I488">
        <v>843.54048000000012</v>
      </c>
    </row>
    <row r="489" spans="8:9" x14ac:dyDescent="0.4">
      <c r="H489">
        <v>23.431680000000004</v>
      </c>
      <c r="I489">
        <v>843.54048000000012</v>
      </c>
    </row>
    <row r="490" spans="8:9" x14ac:dyDescent="0.4">
      <c r="H490">
        <v>23.431680000000004</v>
      </c>
      <c r="I490">
        <v>843.54048000000012</v>
      </c>
    </row>
    <row r="491" spans="8:9" x14ac:dyDescent="0.4">
      <c r="H491">
        <v>24.079028750000003</v>
      </c>
      <c r="I491">
        <v>866.84503500000005</v>
      </c>
    </row>
    <row r="492" spans="8:9" x14ac:dyDescent="0.4">
      <c r="H492">
        <v>24.079028750000003</v>
      </c>
      <c r="I492">
        <v>866.84503500000005</v>
      </c>
    </row>
    <row r="493" spans="8:9" x14ac:dyDescent="0.4">
      <c r="H493">
        <v>24.079028750000003</v>
      </c>
      <c r="I493">
        <v>866.84503500000005</v>
      </c>
    </row>
    <row r="494" spans="8:9" x14ac:dyDescent="0.4">
      <c r="H494">
        <v>24.079028750000003</v>
      </c>
      <c r="I494">
        <v>866.84503500000005</v>
      </c>
    </row>
    <row r="495" spans="8:9" x14ac:dyDescent="0.4">
      <c r="H495">
        <v>24.079028750000003</v>
      </c>
      <c r="I495">
        <v>866.84503500000005</v>
      </c>
    </row>
    <row r="496" spans="8:9" x14ac:dyDescent="0.4">
      <c r="H496">
        <v>24.079028750000003</v>
      </c>
      <c r="I496">
        <v>866.84503500000005</v>
      </c>
    </row>
    <row r="497" spans="8:9" x14ac:dyDescent="0.4">
      <c r="H497">
        <v>24.079028750000003</v>
      </c>
      <c r="I497">
        <v>866.84503500000005</v>
      </c>
    </row>
    <row r="498" spans="8:9" x14ac:dyDescent="0.4">
      <c r="H498">
        <v>24.079028750000003</v>
      </c>
      <c r="I498">
        <v>866.84503500000005</v>
      </c>
    </row>
    <row r="499" spans="8:9" x14ac:dyDescent="0.4">
      <c r="H499">
        <v>24.079028750000003</v>
      </c>
      <c r="I499">
        <v>866.84503500000005</v>
      </c>
    </row>
    <row r="500" spans="8:9" x14ac:dyDescent="0.4">
      <c r="H500">
        <v>24.079028750000003</v>
      </c>
      <c r="I500">
        <v>866.84503500000005</v>
      </c>
    </row>
    <row r="501" spans="8:9" x14ac:dyDescent="0.4">
      <c r="H501">
        <v>24.718749999999996</v>
      </c>
      <c r="I501">
        <v>889.87499999999989</v>
      </c>
    </row>
    <row r="502" spans="8:9" x14ac:dyDescent="0.4">
      <c r="H502">
        <v>24.718749999999996</v>
      </c>
      <c r="I502">
        <v>889.87499999999989</v>
      </c>
    </row>
    <row r="503" spans="8:9" x14ac:dyDescent="0.4">
      <c r="H503">
        <v>24.718749999999996</v>
      </c>
      <c r="I503">
        <v>889.87499999999989</v>
      </c>
    </row>
    <row r="504" spans="8:9" x14ac:dyDescent="0.4">
      <c r="H504">
        <v>24.718749999999996</v>
      </c>
      <c r="I504">
        <v>889.87499999999989</v>
      </c>
    </row>
    <row r="505" spans="8:9" x14ac:dyDescent="0.4">
      <c r="H505">
        <v>24.718749999999996</v>
      </c>
      <c r="I505">
        <v>889.87499999999989</v>
      </c>
    </row>
    <row r="506" spans="8:9" x14ac:dyDescent="0.4">
      <c r="H506">
        <v>24.718749999999996</v>
      </c>
      <c r="I506">
        <v>889.87499999999989</v>
      </c>
    </row>
    <row r="507" spans="8:9" x14ac:dyDescent="0.4">
      <c r="H507">
        <v>24.718749999999996</v>
      </c>
      <c r="I507">
        <v>889.87499999999989</v>
      </c>
    </row>
    <row r="508" spans="8:9" x14ac:dyDescent="0.4">
      <c r="H508">
        <v>24.718749999999996</v>
      </c>
      <c r="I508">
        <v>889.87499999999989</v>
      </c>
    </row>
    <row r="509" spans="8:9" x14ac:dyDescent="0.4">
      <c r="H509">
        <v>24.718749999999996</v>
      </c>
      <c r="I509">
        <v>889.87499999999989</v>
      </c>
    </row>
    <row r="510" spans="8:9" x14ac:dyDescent="0.4">
      <c r="H510">
        <v>24.718749999999996</v>
      </c>
      <c r="I510">
        <v>889.87499999999989</v>
      </c>
    </row>
    <row r="511" spans="8:9" x14ac:dyDescent="0.4">
      <c r="H511">
        <v>25.34999625</v>
      </c>
      <c r="I511">
        <v>912.59986500000002</v>
      </c>
    </row>
    <row r="512" spans="8:9" x14ac:dyDescent="0.4">
      <c r="H512">
        <v>25.34999625</v>
      </c>
      <c r="I512">
        <v>912.59986500000002</v>
      </c>
    </row>
    <row r="513" spans="8:9" x14ac:dyDescent="0.4">
      <c r="H513">
        <v>25.34999625</v>
      </c>
      <c r="I513">
        <v>912.59986500000002</v>
      </c>
    </row>
    <row r="514" spans="8:9" x14ac:dyDescent="0.4">
      <c r="H514">
        <v>25.34999625</v>
      </c>
      <c r="I514">
        <v>912.59986500000002</v>
      </c>
    </row>
    <row r="515" spans="8:9" x14ac:dyDescent="0.4">
      <c r="H515">
        <v>25.34999625</v>
      </c>
      <c r="I515">
        <v>912.59986500000002</v>
      </c>
    </row>
    <row r="516" spans="8:9" x14ac:dyDescent="0.4">
      <c r="H516">
        <v>25.34999625</v>
      </c>
      <c r="I516">
        <v>912.59986500000002</v>
      </c>
    </row>
    <row r="517" spans="8:9" x14ac:dyDescent="0.4">
      <c r="H517">
        <v>25.34999625</v>
      </c>
      <c r="I517">
        <v>912.59986500000002</v>
      </c>
    </row>
    <row r="518" spans="8:9" x14ac:dyDescent="0.4">
      <c r="H518">
        <v>25.34999625</v>
      </c>
      <c r="I518">
        <v>912.59986500000002</v>
      </c>
    </row>
    <row r="519" spans="8:9" x14ac:dyDescent="0.4">
      <c r="H519">
        <v>25.34999625</v>
      </c>
      <c r="I519">
        <v>912.59986500000002</v>
      </c>
    </row>
    <row r="520" spans="8:9" x14ac:dyDescent="0.4">
      <c r="H520">
        <v>25.34999625</v>
      </c>
      <c r="I520">
        <v>912.59986500000002</v>
      </c>
    </row>
    <row r="521" spans="8:9" x14ac:dyDescent="0.4">
      <c r="H521">
        <v>25.971919999999997</v>
      </c>
      <c r="I521">
        <v>934.98911999999996</v>
      </c>
    </row>
    <row r="522" spans="8:9" x14ac:dyDescent="0.4">
      <c r="H522">
        <v>25.971919999999997</v>
      </c>
      <c r="I522">
        <v>934.98911999999996</v>
      </c>
    </row>
    <row r="523" spans="8:9" x14ac:dyDescent="0.4">
      <c r="H523">
        <v>25.971919999999997</v>
      </c>
      <c r="I523">
        <v>934.98911999999996</v>
      </c>
    </row>
    <row r="524" spans="8:9" x14ac:dyDescent="0.4">
      <c r="H524">
        <v>25.971919999999997</v>
      </c>
      <c r="I524">
        <v>934.98911999999996</v>
      </c>
    </row>
    <row r="525" spans="8:9" x14ac:dyDescent="0.4">
      <c r="H525">
        <v>25.971919999999997</v>
      </c>
      <c r="I525">
        <v>934.98911999999996</v>
      </c>
    </row>
    <row r="526" spans="8:9" x14ac:dyDescent="0.4">
      <c r="H526">
        <v>25.971919999999997</v>
      </c>
      <c r="I526">
        <v>934.98911999999996</v>
      </c>
    </row>
    <row r="527" spans="8:9" x14ac:dyDescent="0.4">
      <c r="H527">
        <v>25.971919999999997</v>
      </c>
      <c r="I527">
        <v>934.98911999999996</v>
      </c>
    </row>
    <row r="528" spans="8:9" x14ac:dyDescent="0.4">
      <c r="H528">
        <v>25.971919999999997</v>
      </c>
      <c r="I528">
        <v>934.98911999999996</v>
      </c>
    </row>
    <row r="529" spans="8:9" x14ac:dyDescent="0.4">
      <c r="H529">
        <v>25.971919999999997</v>
      </c>
      <c r="I529">
        <v>934.98911999999996</v>
      </c>
    </row>
    <row r="530" spans="8:9" x14ac:dyDescent="0.4">
      <c r="H530">
        <v>25.971919999999997</v>
      </c>
      <c r="I530">
        <v>934.98911999999996</v>
      </c>
    </row>
    <row r="531" spans="8:9" x14ac:dyDescent="0.4">
      <c r="H531">
        <v>26.583673749999999</v>
      </c>
      <c r="I531">
        <v>957.01225499999998</v>
      </c>
    </row>
    <row r="532" spans="8:9" x14ac:dyDescent="0.4">
      <c r="H532">
        <v>26.583673749999999</v>
      </c>
      <c r="I532">
        <v>957.01225499999998</v>
      </c>
    </row>
    <row r="533" spans="8:9" x14ac:dyDescent="0.4">
      <c r="H533">
        <v>26.583673749999999</v>
      </c>
      <c r="I533">
        <v>957.01225499999998</v>
      </c>
    </row>
    <row r="534" spans="8:9" x14ac:dyDescent="0.4">
      <c r="H534">
        <v>26.583673749999999</v>
      </c>
      <c r="I534">
        <v>957.01225499999998</v>
      </c>
    </row>
    <row r="535" spans="8:9" x14ac:dyDescent="0.4">
      <c r="H535">
        <v>26.583673749999999</v>
      </c>
      <c r="I535">
        <v>957.01225499999998</v>
      </c>
    </row>
    <row r="536" spans="8:9" x14ac:dyDescent="0.4">
      <c r="H536">
        <v>26.583673749999999</v>
      </c>
      <c r="I536">
        <v>957.01225499999998</v>
      </c>
    </row>
    <row r="537" spans="8:9" x14ac:dyDescent="0.4">
      <c r="H537">
        <v>26.583673749999999</v>
      </c>
      <c r="I537">
        <v>957.01225499999998</v>
      </c>
    </row>
    <row r="538" spans="8:9" x14ac:dyDescent="0.4">
      <c r="H538">
        <v>26.583673749999999</v>
      </c>
      <c r="I538">
        <v>957.01225499999998</v>
      </c>
    </row>
    <row r="539" spans="8:9" x14ac:dyDescent="0.4">
      <c r="H539">
        <v>26.583673749999999</v>
      </c>
      <c r="I539">
        <v>957.01225499999998</v>
      </c>
    </row>
    <row r="540" spans="8:9" x14ac:dyDescent="0.4">
      <c r="H540">
        <v>26.583673749999999</v>
      </c>
      <c r="I540">
        <v>957.01225499999998</v>
      </c>
    </row>
    <row r="541" spans="8:9" x14ac:dyDescent="0.4">
      <c r="H541">
        <v>27.184410000000003</v>
      </c>
      <c r="I541">
        <v>978.63876000000016</v>
      </c>
    </row>
    <row r="542" spans="8:9" x14ac:dyDescent="0.4">
      <c r="H542">
        <v>27.184410000000003</v>
      </c>
      <c r="I542">
        <v>978.63876000000016</v>
      </c>
    </row>
    <row r="543" spans="8:9" x14ac:dyDescent="0.4">
      <c r="H543">
        <v>27.184410000000003</v>
      </c>
      <c r="I543">
        <v>978.63876000000016</v>
      </c>
    </row>
    <row r="544" spans="8:9" x14ac:dyDescent="0.4">
      <c r="H544">
        <v>27.184410000000003</v>
      </c>
      <c r="I544">
        <v>978.63876000000016</v>
      </c>
    </row>
    <row r="545" spans="8:9" x14ac:dyDescent="0.4">
      <c r="H545">
        <v>27.184410000000003</v>
      </c>
      <c r="I545">
        <v>978.63876000000016</v>
      </c>
    </row>
    <row r="546" spans="8:9" x14ac:dyDescent="0.4">
      <c r="H546">
        <v>27.184410000000003</v>
      </c>
      <c r="I546">
        <v>978.63876000000016</v>
      </c>
    </row>
    <row r="547" spans="8:9" x14ac:dyDescent="0.4">
      <c r="H547">
        <v>27.184410000000003</v>
      </c>
      <c r="I547">
        <v>978.63876000000016</v>
      </c>
    </row>
    <row r="548" spans="8:9" x14ac:dyDescent="0.4">
      <c r="H548">
        <v>27.184410000000003</v>
      </c>
      <c r="I548">
        <v>978.63876000000016</v>
      </c>
    </row>
    <row r="549" spans="8:9" x14ac:dyDescent="0.4">
      <c r="H549">
        <v>27.184410000000003</v>
      </c>
      <c r="I549">
        <v>978.63876000000016</v>
      </c>
    </row>
    <row r="550" spans="8:9" x14ac:dyDescent="0.4">
      <c r="H550">
        <v>27.184410000000003</v>
      </c>
      <c r="I550">
        <v>978.63876000000016</v>
      </c>
    </row>
    <row r="551" spans="8:9" x14ac:dyDescent="0.4">
      <c r="H551">
        <v>27.77328125</v>
      </c>
      <c r="I551">
        <v>999.83812499999999</v>
      </c>
    </row>
    <row r="552" spans="8:9" x14ac:dyDescent="0.4">
      <c r="H552">
        <v>27.77328125</v>
      </c>
      <c r="I552">
        <v>999.83812499999999</v>
      </c>
    </row>
    <row r="553" spans="8:9" x14ac:dyDescent="0.4">
      <c r="H553">
        <v>27.77328125</v>
      </c>
      <c r="I553">
        <v>999.83812499999999</v>
      </c>
    </row>
    <row r="554" spans="8:9" x14ac:dyDescent="0.4">
      <c r="H554">
        <v>27.77328125</v>
      </c>
      <c r="I554">
        <v>999.83812499999999</v>
      </c>
    </row>
    <row r="555" spans="8:9" x14ac:dyDescent="0.4">
      <c r="H555">
        <v>27.77328125</v>
      </c>
      <c r="I555">
        <v>999.83812499999999</v>
      </c>
    </row>
    <row r="556" spans="8:9" x14ac:dyDescent="0.4">
      <c r="H556">
        <v>27.77328125</v>
      </c>
      <c r="I556">
        <v>999.83812499999999</v>
      </c>
    </row>
    <row r="557" spans="8:9" x14ac:dyDescent="0.4">
      <c r="H557">
        <v>27.77328125</v>
      </c>
      <c r="I557">
        <v>999.83812499999999</v>
      </c>
    </row>
    <row r="558" spans="8:9" x14ac:dyDescent="0.4">
      <c r="H558">
        <v>27.77328125</v>
      </c>
      <c r="I558">
        <v>999.83812499999999</v>
      </c>
    </row>
    <row r="559" spans="8:9" x14ac:dyDescent="0.4">
      <c r="H559">
        <v>27.77328125</v>
      </c>
      <c r="I559">
        <v>999.83812499999999</v>
      </c>
    </row>
    <row r="560" spans="8:9" x14ac:dyDescent="0.4">
      <c r="H560">
        <v>27.77328125</v>
      </c>
      <c r="I560">
        <v>999.83812499999999</v>
      </c>
    </row>
    <row r="561" spans="8:9" x14ac:dyDescent="0.4">
      <c r="H561">
        <v>28.349439999999994</v>
      </c>
      <c r="I561">
        <v>1020.5798399999998</v>
      </c>
    </row>
    <row r="562" spans="8:9" x14ac:dyDescent="0.4">
      <c r="H562">
        <v>28.349439999999994</v>
      </c>
      <c r="I562">
        <v>1020.5798399999998</v>
      </c>
    </row>
    <row r="563" spans="8:9" x14ac:dyDescent="0.4">
      <c r="H563">
        <v>28.349439999999994</v>
      </c>
      <c r="I563">
        <v>1020.5798399999998</v>
      </c>
    </row>
    <row r="564" spans="8:9" x14ac:dyDescent="0.4">
      <c r="H564">
        <v>28.349439999999994</v>
      </c>
      <c r="I564">
        <v>1020.5798399999998</v>
      </c>
    </row>
    <row r="565" spans="8:9" x14ac:dyDescent="0.4">
      <c r="H565">
        <v>28.349439999999994</v>
      </c>
      <c r="I565">
        <v>1020.5798399999998</v>
      </c>
    </row>
    <row r="566" spans="8:9" x14ac:dyDescent="0.4">
      <c r="H566">
        <v>28.349439999999994</v>
      </c>
      <c r="I566">
        <v>1020.5798399999998</v>
      </c>
    </row>
    <row r="567" spans="8:9" x14ac:dyDescent="0.4">
      <c r="H567">
        <v>28.349439999999994</v>
      </c>
      <c r="I567">
        <v>1020.5798399999998</v>
      </c>
    </row>
    <row r="568" spans="8:9" x14ac:dyDescent="0.4">
      <c r="H568">
        <v>28.349439999999994</v>
      </c>
      <c r="I568">
        <v>1020.5798399999998</v>
      </c>
    </row>
    <row r="569" spans="8:9" x14ac:dyDescent="0.4">
      <c r="H569">
        <v>28.349439999999994</v>
      </c>
      <c r="I569">
        <v>1020.5798399999998</v>
      </c>
    </row>
    <row r="570" spans="8:9" x14ac:dyDescent="0.4">
      <c r="H570">
        <v>28.349439999999994</v>
      </c>
      <c r="I570">
        <v>1020.5798399999998</v>
      </c>
    </row>
    <row r="571" spans="8:9" x14ac:dyDescent="0.4">
      <c r="H571">
        <v>28.912038749999994</v>
      </c>
      <c r="I571">
        <v>1040.8333949999997</v>
      </c>
    </row>
    <row r="572" spans="8:9" x14ac:dyDescent="0.4">
      <c r="H572">
        <v>28.912038749999994</v>
      </c>
      <c r="I572">
        <v>1040.8333949999997</v>
      </c>
    </row>
    <row r="573" spans="8:9" x14ac:dyDescent="0.4">
      <c r="H573">
        <v>28.912038749999994</v>
      </c>
      <c r="I573">
        <v>1040.8333949999997</v>
      </c>
    </row>
    <row r="574" spans="8:9" x14ac:dyDescent="0.4">
      <c r="H574">
        <v>28.912038749999994</v>
      </c>
      <c r="I574">
        <v>1040.8333949999997</v>
      </c>
    </row>
    <row r="575" spans="8:9" x14ac:dyDescent="0.4">
      <c r="H575">
        <v>28.912038749999994</v>
      </c>
      <c r="I575">
        <v>1040.8333949999997</v>
      </c>
    </row>
    <row r="576" spans="8:9" x14ac:dyDescent="0.4">
      <c r="H576">
        <v>28.912038749999994</v>
      </c>
      <c r="I576">
        <v>1040.8333949999997</v>
      </c>
    </row>
    <row r="577" spans="8:9" x14ac:dyDescent="0.4">
      <c r="H577">
        <v>28.912038749999994</v>
      </c>
      <c r="I577">
        <v>1040.8333949999997</v>
      </c>
    </row>
    <row r="578" spans="8:9" x14ac:dyDescent="0.4">
      <c r="H578">
        <v>28.912038749999994</v>
      </c>
      <c r="I578">
        <v>1040.8333949999997</v>
      </c>
    </row>
    <row r="579" spans="8:9" x14ac:dyDescent="0.4">
      <c r="H579">
        <v>28.912038749999994</v>
      </c>
      <c r="I579">
        <v>1040.8333949999997</v>
      </c>
    </row>
    <row r="580" spans="8:9" x14ac:dyDescent="0.4">
      <c r="H580">
        <v>28.912038749999994</v>
      </c>
      <c r="I580">
        <v>1040.8333949999997</v>
      </c>
    </row>
    <row r="581" spans="8:9" x14ac:dyDescent="0.4">
      <c r="H581">
        <v>29.460229999999996</v>
      </c>
      <c r="I581">
        <v>1060.56828</v>
      </c>
    </row>
    <row r="582" spans="8:9" x14ac:dyDescent="0.4">
      <c r="H582">
        <v>29.460229999999996</v>
      </c>
      <c r="I582">
        <v>1060.56828</v>
      </c>
    </row>
    <row r="583" spans="8:9" x14ac:dyDescent="0.4">
      <c r="H583">
        <v>29.460229999999996</v>
      </c>
      <c r="I583">
        <v>1060.56828</v>
      </c>
    </row>
    <row r="584" spans="8:9" x14ac:dyDescent="0.4">
      <c r="H584">
        <v>29.460229999999996</v>
      </c>
      <c r="I584">
        <v>1060.56828</v>
      </c>
    </row>
    <row r="585" spans="8:9" x14ac:dyDescent="0.4">
      <c r="H585">
        <v>29.460229999999996</v>
      </c>
      <c r="I585">
        <v>1060.56828</v>
      </c>
    </row>
    <row r="586" spans="8:9" x14ac:dyDescent="0.4">
      <c r="H586">
        <v>29.460229999999996</v>
      </c>
      <c r="I586">
        <v>1060.56828</v>
      </c>
    </row>
    <row r="587" spans="8:9" x14ac:dyDescent="0.4">
      <c r="H587">
        <v>29.460229999999996</v>
      </c>
      <c r="I587">
        <v>1060.56828</v>
      </c>
    </row>
    <row r="588" spans="8:9" x14ac:dyDescent="0.4">
      <c r="H588">
        <v>29.460229999999996</v>
      </c>
      <c r="I588">
        <v>1060.56828</v>
      </c>
    </row>
    <row r="589" spans="8:9" x14ac:dyDescent="0.4">
      <c r="H589">
        <v>29.460229999999996</v>
      </c>
      <c r="I589">
        <v>1060.56828</v>
      </c>
    </row>
    <row r="590" spans="8:9" x14ac:dyDescent="0.4">
      <c r="H590">
        <v>29.460229999999996</v>
      </c>
      <c r="I590">
        <v>1060.56828</v>
      </c>
    </row>
    <row r="591" spans="8:9" x14ac:dyDescent="0.4">
      <c r="H591">
        <v>29.993166249999991</v>
      </c>
      <c r="I591">
        <v>1079.7539849999996</v>
      </c>
    </row>
    <row r="592" spans="8:9" x14ac:dyDescent="0.4">
      <c r="H592">
        <v>29.993166249999991</v>
      </c>
      <c r="I592">
        <v>1079.7539849999996</v>
      </c>
    </row>
    <row r="593" spans="8:9" x14ac:dyDescent="0.4">
      <c r="H593">
        <v>29.993166249999991</v>
      </c>
      <c r="I593">
        <v>1079.7539849999996</v>
      </c>
    </row>
    <row r="594" spans="8:9" x14ac:dyDescent="0.4">
      <c r="H594">
        <v>29.993166249999991</v>
      </c>
      <c r="I594">
        <v>1079.7539849999996</v>
      </c>
    </row>
    <row r="595" spans="8:9" x14ac:dyDescent="0.4">
      <c r="H595">
        <v>29.993166249999991</v>
      </c>
      <c r="I595">
        <v>1079.7539849999996</v>
      </c>
    </row>
    <row r="596" spans="8:9" x14ac:dyDescent="0.4">
      <c r="H596">
        <v>29.993166249999991</v>
      </c>
      <c r="I596">
        <v>1079.7539849999996</v>
      </c>
    </row>
    <row r="597" spans="8:9" x14ac:dyDescent="0.4">
      <c r="H597">
        <v>29.993166249999991</v>
      </c>
      <c r="I597">
        <v>1079.7539849999996</v>
      </c>
    </row>
    <row r="598" spans="8:9" x14ac:dyDescent="0.4">
      <c r="H598">
        <v>29.993166249999991</v>
      </c>
      <c r="I598">
        <v>1079.7539849999996</v>
      </c>
    </row>
    <row r="599" spans="8:9" x14ac:dyDescent="0.4">
      <c r="H599">
        <v>29.993166249999991</v>
      </c>
      <c r="I599">
        <v>1079.7539849999996</v>
      </c>
    </row>
    <row r="600" spans="8:9" x14ac:dyDescent="0.4">
      <c r="H600">
        <v>29.993166249999991</v>
      </c>
      <c r="I600">
        <v>1079.7539849999996</v>
      </c>
    </row>
    <row r="601" spans="8:9" x14ac:dyDescent="0.4">
      <c r="H601">
        <v>30.509999999999998</v>
      </c>
      <c r="I601">
        <v>1098.3599999999999</v>
      </c>
    </row>
    <row r="602" spans="8:9" x14ac:dyDescent="0.4">
      <c r="H602">
        <v>30.509999999999998</v>
      </c>
      <c r="I602">
        <v>1098.3599999999999</v>
      </c>
    </row>
    <row r="603" spans="8:9" x14ac:dyDescent="0.4">
      <c r="H603">
        <v>30.509999999999998</v>
      </c>
      <c r="I603">
        <v>1098.3599999999999</v>
      </c>
    </row>
    <row r="604" spans="8:9" x14ac:dyDescent="0.4">
      <c r="H604">
        <v>30.509999999999998</v>
      </c>
      <c r="I604">
        <v>1098.3599999999999</v>
      </c>
    </row>
    <row r="605" spans="8:9" x14ac:dyDescent="0.4">
      <c r="H605">
        <v>30.509999999999998</v>
      </c>
      <c r="I605">
        <v>1098.3599999999999</v>
      </c>
    </row>
    <row r="606" spans="8:9" x14ac:dyDescent="0.4">
      <c r="H606">
        <v>30.509999999999998</v>
      </c>
      <c r="I606">
        <v>1098.3599999999999</v>
      </c>
    </row>
    <row r="607" spans="8:9" x14ac:dyDescent="0.4">
      <c r="H607">
        <v>30.509999999999998</v>
      </c>
      <c r="I607">
        <v>1098.3599999999999</v>
      </c>
    </row>
    <row r="608" spans="8:9" x14ac:dyDescent="0.4">
      <c r="H608">
        <v>30.509999999999998</v>
      </c>
      <c r="I608">
        <v>1098.3599999999999</v>
      </c>
    </row>
    <row r="609" spans="8:9" x14ac:dyDescent="0.4">
      <c r="H609">
        <v>30.509999999999998</v>
      </c>
      <c r="I609">
        <v>1098.3599999999999</v>
      </c>
    </row>
    <row r="610" spans="8:9" x14ac:dyDescent="0.4">
      <c r="H610">
        <v>30.509999999999998</v>
      </c>
      <c r="I610">
        <v>1098.3599999999999</v>
      </c>
    </row>
    <row r="611" spans="8:9" x14ac:dyDescent="0.4">
      <c r="H611">
        <v>31.009883749999997</v>
      </c>
      <c r="I611">
        <v>1116.3558149999999</v>
      </c>
    </row>
    <row r="612" spans="8:9" x14ac:dyDescent="0.4">
      <c r="H612">
        <v>31.009883749999997</v>
      </c>
      <c r="I612">
        <v>1116.3558149999999</v>
      </c>
    </row>
    <row r="613" spans="8:9" x14ac:dyDescent="0.4">
      <c r="H613">
        <v>31.009883749999997</v>
      </c>
      <c r="I613">
        <v>1116.3558149999999</v>
      </c>
    </row>
    <row r="614" spans="8:9" x14ac:dyDescent="0.4">
      <c r="H614">
        <v>31.009883749999997</v>
      </c>
      <c r="I614">
        <v>1116.3558149999999</v>
      </c>
    </row>
    <row r="615" spans="8:9" x14ac:dyDescent="0.4">
      <c r="H615">
        <v>31.009883749999997</v>
      </c>
      <c r="I615">
        <v>1116.3558149999999</v>
      </c>
    </row>
    <row r="616" spans="8:9" x14ac:dyDescent="0.4">
      <c r="H616">
        <v>31.009883749999997</v>
      </c>
      <c r="I616">
        <v>1116.3558149999999</v>
      </c>
    </row>
    <row r="617" spans="8:9" x14ac:dyDescent="0.4">
      <c r="H617">
        <v>31.009883749999997</v>
      </c>
      <c r="I617">
        <v>1116.3558149999999</v>
      </c>
    </row>
    <row r="618" spans="8:9" x14ac:dyDescent="0.4">
      <c r="H618">
        <v>31.009883749999997</v>
      </c>
      <c r="I618">
        <v>1116.3558149999999</v>
      </c>
    </row>
    <row r="619" spans="8:9" x14ac:dyDescent="0.4">
      <c r="H619">
        <v>31.009883749999997</v>
      </c>
      <c r="I619">
        <v>1116.3558149999999</v>
      </c>
    </row>
    <row r="620" spans="8:9" x14ac:dyDescent="0.4">
      <c r="H620">
        <v>31.009883749999997</v>
      </c>
      <c r="I620">
        <v>1116.3558149999999</v>
      </c>
    </row>
    <row r="621" spans="8:9" x14ac:dyDescent="0.4">
      <c r="H621">
        <v>31.491970000000006</v>
      </c>
      <c r="I621">
        <v>1133.7109200000002</v>
      </c>
    </row>
    <row r="622" spans="8:9" x14ac:dyDescent="0.4">
      <c r="H622">
        <v>31.491970000000006</v>
      </c>
      <c r="I622">
        <v>1133.7109200000002</v>
      </c>
    </row>
    <row r="623" spans="8:9" x14ac:dyDescent="0.4">
      <c r="H623">
        <v>31.491970000000006</v>
      </c>
      <c r="I623">
        <v>1133.7109200000002</v>
      </c>
    </row>
    <row r="624" spans="8:9" x14ac:dyDescent="0.4">
      <c r="H624">
        <v>31.491970000000006</v>
      </c>
      <c r="I624">
        <v>1133.7109200000002</v>
      </c>
    </row>
    <row r="625" spans="8:9" x14ac:dyDescent="0.4">
      <c r="H625">
        <v>31.491970000000006</v>
      </c>
      <c r="I625">
        <v>1133.7109200000002</v>
      </c>
    </row>
    <row r="626" spans="8:9" x14ac:dyDescent="0.4">
      <c r="H626">
        <v>31.491970000000006</v>
      </c>
      <c r="I626">
        <v>1133.7109200000002</v>
      </c>
    </row>
    <row r="627" spans="8:9" x14ac:dyDescent="0.4">
      <c r="H627">
        <v>31.491970000000006</v>
      </c>
      <c r="I627">
        <v>1133.7109200000002</v>
      </c>
    </row>
    <row r="628" spans="8:9" x14ac:dyDescent="0.4">
      <c r="H628">
        <v>31.491970000000006</v>
      </c>
      <c r="I628">
        <v>1133.7109200000002</v>
      </c>
    </row>
    <row r="629" spans="8:9" x14ac:dyDescent="0.4">
      <c r="H629">
        <v>31.491970000000006</v>
      </c>
      <c r="I629">
        <v>1133.7109200000002</v>
      </c>
    </row>
    <row r="630" spans="8:9" x14ac:dyDescent="0.4">
      <c r="H630">
        <v>31.491970000000006</v>
      </c>
      <c r="I630">
        <v>1133.7109200000002</v>
      </c>
    </row>
    <row r="631" spans="8:9" x14ac:dyDescent="0.4">
      <c r="H631">
        <v>31.955411249999997</v>
      </c>
      <c r="I631">
        <v>1150.3948049999999</v>
      </c>
    </row>
    <row r="632" spans="8:9" x14ac:dyDescent="0.4">
      <c r="H632">
        <v>31.955411249999997</v>
      </c>
      <c r="I632">
        <v>1150.3948049999999</v>
      </c>
    </row>
    <row r="633" spans="8:9" x14ac:dyDescent="0.4">
      <c r="H633">
        <v>31.955411249999997</v>
      </c>
      <c r="I633">
        <v>1150.3948049999999</v>
      </c>
    </row>
    <row r="634" spans="8:9" x14ac:dyDescent="0.4">
      <c r="H634">
        <v>31.955411249999997</v>
      </c>
      <c r="I634">
        <v>1150.3948049999999</v>
      </c>
    </row>
    <row r="635" spans="8:9" x14ac:dyDescent="0.4">
      <c r="H635">
        <v>31.955411249999997</v>
      </c>
      <c r="I635">
        <v>1150.3948049999999</v>
      </c>
    </row>
    <row r="636" spans="8:9" x14ac:dyDescent="0.4">
      <c r="H636">
        <v>31.955411249999997</v>
      </c>
      <c r="I636">
        <v>1150.3948049999999</v>
      </c>
    </row>
    <row r="637" spans="8:9" x14ac:dyDescent="0.4">
      <c r="H637">
        <v>31.955411249999997</v>
      </c>
      <c r="I637">
        <v>1150.3948049999999</v>
      </c>
    </row>
    <row r="638" spans="8:9" x14ac:dyDescent="0.4">
      <c r="H638">
        <v>31.955411249999997</v>
      </c>
      <c r="I638">
        <v>1150.3948049999999</v>
      </c>
    </row>
    <row r="639" spans="8:9" x14ac:dyDescent="0.4">
      <c r="H639">
        <v>31.955411249999997</v>
      </c>
      <c r="I639">
        <v>1150.3948049999999</v>
      </c>
    </row>
    <row r="640" spans="8:9" x14ac:dyDescent="0.4">
      <c r="H640">
        <v>31.955411249999997</v>
      </c>
      <c r="I640">
        <v>1150.3948049999999</v>
      </c>
    </row>
    <row r="641" spans="8:9" x14ac:dyDescent="0.4">
      <c r="H641">
        <v>32.399360000000001</v>
      </c>
      <c r="I641">
        <v>1166.3769600000001</v>
      </c>
    </row>
    <row r="642" spans="8:9" x14ac:dyDescent="0.4">
      <c r="H642">
        <v>32.399360000000001</v>
      </c>
      <c r="I642">
        <v>1166.3769600000001</v>
      </c>
    </row>
    <row r="643" spans="8:9" x14ac:dyDescent="0.4">
      <c r="H643">
        <v>32.399360000000001</v>
      </c>
      <c r="I643">
        <v>1166.3769600000001</v>
      </c>
    </row>
    <row r="644" spans="8:9" x14ac:dyDescent="0.4">
      <c r="H644">
        <v>32.399360000000001</v>
      </c>
      <c r="I644">
        <v>1166.3769600000001</v>
      </c>
    </row>
    <row r="645" spans="8:9" x14ac:dyDescent="0.4">
      <c r="H645">
        <v>32.399360000000001</v>
      </c>
      <c r="I645">
        <v>1166.3769600000001</v>
      </c>
    </row>
    <row r="646" spans="8:9" x14ac:dyDescent="0.4">
      <c r="H646">
        <v>32.399360000000001</v>
      </c>
      <c r="I646">
        <v>1166.3769600000001</v>
      </c>
    </row>
    <row r="647" spans="8:9" x14ac:dyDescent="0.4">
      <c r="H647">
        <v>32.399360000000001</v>
      </c>
      <c r="I647">
        <v>1166.3769600000001</v>
      </c>
    </row>
    <row r="648" spans="8:9" x14ac:dyDescent="0.4">
      <c r="H648">
        <v>32.399360000000001</v>
      </c>
      <c r="I648">
        <v>1166.3769600000001</v>
      </c>
    </row>
    <row r="649" spans="8:9" x14ac:dyDescent="0.4">
      <c r="H649">
        <v>32.399360000000001</v>
      </c>
      <c r="I649">
        <v>1166.3769600000001</v>
      </c>
    </row>
    <row r="650" spans="8:9" x14ac:dyDescent="0.4">
      <c r="H650">
        <v>32.399360000000001</v>
      </c>
      <c r="I650">
        <v>1166.3769600000001</v>
      </c>
    </row>
    <row r="651" spans="8:9" x14ac:dyDescent="0.4">
      <c r="H651">
        <v>32.822968750000008</v>
      </c>
      <c r="I651">
        <v>1181.6268750000004</v>
      </c>
    </row>
    <row r="652" spans="8:9" x14ac:dyDescent="0.4">
      <c r="H652">
        <v>32.822968750000008</v>
      </c>
      <c r="I652">
        <v>1181.6268750000004</v>
      </c>
    </row>
    <row r="653" spans="8:9" x14ac:dyDescent="0.4">
      <c r="H653">
        <v>32.822968750000008</v>
      </c>
      <c r="I653">
        <v>1181.6268750000004</v>
      </c>
    </row>
    <row r="654" spans="8:9" x14ac:dyDescent="0.4">
      <c r="H654">
        <v>32.822968750000008</v>
      </c>
      <c r="I654">
        <v>1181.6268750000004</v>
      </c>
    </row>
    <row r="655" spans="8:9" x14ac:dyDescent="0.4">
      <c r="H655">
        <v>32.822968750000008</v>
      </c>
      <c r="I655">
        <v>1181.6268750000004</v>
      </c>
    </row>
    <row r="656" spans="8:9" x14ac:dyDescent="0.4">
      <c r="H656">
        <v>32.822968750000008</v>
      </c>
      <c r="I656">
        <v>1181.6268750000004</v>
      </c>
    </row>
    <row r="657" spans="8:9" x14ac:dyDescent="0.4">
      <c r="H657">
        <v>32.822968750000008</v>
      </c>
      <c r="I657">
        <v>1181.6268750000004</v>
      </c>
    </row>
    <row r="658" spans="8:9" x14ac:dyDescent="0.4">
      <c r="H658">
        <v>32.822968750000008</v>
      </c>
      <c r="I658">
        <v>1181.6268750000004</v>
      </c>
    </row>
    <row r="659" spans="8:9" x14ac:dyDescent="0.4">
      <c r="H659">
        <v>32.822968750000008</v>
      </c>
      <c r="I659">
        <v>1181.6268750000004</v>
      </c>
    </row>
    <row r="660" spans="8:9" x14ac:dyDescent="0.4">
      <c r="H660">
        <v>32.822968750000008</v>
      </c>
      <c r="I660">
        <v>1181.6268750000004</v>
      </c>
    </row>
    <row r="661" spans="8:9" x14ac:dyDescent="0.4">
      <c r="H661">
        <v>33.22538999999999</v>
      </c>
      <c r="I661">
        <v>1196.1140399999997</v>
      </c>
    </row>
    <row r="662" spans="8:9" x14ac:dyDescent="0.4">
      <c r="H662">
        <v>33.22538999999999</v>
      </c>
      <c r="I662">
        <v>1196.1140399999997</v>
      </c>
    </row>
    <row r="663" spans="8:9" x14ac:dyDescent="0.4">
      <c r="H663">
        <v>33.22538999999999</v>
      </c>
      <c r="I663">
        <v>1196.1140399999997</v>
      </c>
    </row>
    <row r="664" spans="8:9" x14ac:dyDescent="0.4">
      <c r="H664">
        <v>33.22538999999999</v>
      </c>
      <c r="I664">
        <v>1196.1140399999997</v>
      </c>
    </row>
    <row r="665" spans="8:9" x14ac:dyDescent="0.4">
      <c r="H665">
        <v>33.22538999999999</v>
      </c>
      <c r="I665">
        <v>1196.1140399999997</v>
      </c>
    </row>
    <row r="666" spans="8:9" x14ac:dyDescent="0.4">
      <c r="H666">
        <v>33.22538999999999</v>
      </c>
      <c r="I666">
        <v>1196.1140399999997</v>
      </c>
    </row>
    <row r="667" spans="8:9" x14ac:dyDescent="0.4">
      <c r="H667">
        <v>33.22538999999999</v>
      </c>
      <c r="I667">
        <v>1196.1140399999997</v>
      </c>
    </row>
    <row r="668" spans="8:9" x14ac:dyDescent="0.4">
      <c r="H668">
        <v>33.22538999999999</v>
      </c>
      <c r="I668">
        <v>1196.1140399999997</v>
      </c>
    </row>
    <row r="669" spans="8:9" x14ac:dyDescent="0.4">
      <c r="H669">
        <v>33.22538999999999</v>
      </c>
      <c r="I669">
        <v>1196.1140399999997</v>
      </c>
    </row>
    <row r="670" spans="8:9" x14ac:dyDescent="0.4">
      <c r="H670">
        <v>33.22538999999999</v>
      </c>
      <c r="I670">
        <v>1196.1140399999997</v>
      </c>
    </row>
    <row r="671" spans="8:9" x14ac:dyDescent="0.4">
      <c r="H671">
        <v>33.605776249999998</v>
      </c>
      <c r="I671">
        <v>1209.807945</v>
      </c>
    </row>
    <row r="672" spans="8:9" x14ac:dyDescent="0.4">
      <c r="H672">
        <v>33.605776249999998</v>
      </c>
      <c r="I672">
        <v>1209.807945</v>
      </c>
    </row>
    <row r="673" spans="8:9" x14ac:dyDescent="0.4">
      <c r="H673">
        <v>33.605776249999998</v>
      </c>
      <c r="I673">
        <v>1209.807945</v>
      </c>
    </row>
    <row r="674" spans="8:9" x14ac:dyDescent="0.4">
      <c r="H674">
        <v>33.605776249999998</v>
      </c>
      <c r="I674">
        <v>1209.807945</v>
      </c>
    </row>
    <row r="675" spans="8:9" x14ac:dyDescent="0.4">
      <c r="H675">
        <v>33.605776249999998</v>
      </c>
      <c r="I675">
        <v>1209.807945</v>
      </c>
    </row>
    <row r="676" spans="8:9" x14ac:dyDescent="0.4">
      <c r="H676">
        <v>33.605776249999998</v>
      </c>
      <c r="I676">
        <v>1209.807945</v>
      </c>
    </row>
    <row r="677" spans="8:9" x14ac:dyDescent="0.4">
      <c r="H677">
        <v>33.605776249999998</v>
      </c>
      <c r="I677">
        <v>1209.807945</v>
      </c>
    </row>
    <row r="678" spans="8:9" x14ac:dyDescent="0.4">
      <c r="H678">
        <v>33.605776249999998</v>
      </c>
      <c r="I678">
        <v>1209.807945</v>
      </c>
    </row>
    <row r="679" spans="8:9" x14ac:dyDescent="0.4">
      <c r="H679">
        <v>33.605776249999998</v>
      </c>
      <c r="I679">
        <v>1209.807945</v>
      </c>
    </row>
    <row r="680" spans="8:9" x14ac:dyDescent="0.4">
      <c r="H680">
        <v>33.605776249999998</v>
      </c>
      <c r="I680">
        <v>1209.807945</v>
      </c>
    </row>
    <row r="681" spans="8:9" x14ac:dyDescent="0.4">
      <c r="H681">
        <v>33.963280000000005</v>
      </c>
      <c r="I681">
        <v>1222.6780800000001</v>
      </c>
    </row>
    <row r="682" spans="8:9" x14ac:dyDescent="0.4">
      <c r="H682">
        <v>33.963280000000005</v>
      </c>
      <c r="I682">
        <v>1222.6780800000001</v>
      </c>
    </row>
    <row r="683" spans="8:9" x14ac:dyDescent="0.4">
      <c r="H683">
        <v>33.963280000000005</v>
      </c>
      <c r="I683">
        <v>1222.6780800000001</v>
      </c>
    </row>
    <row r="684" spans="8:9" x14ac:dyDescent="0.4">
      <c r="H684">
        <v>33.963280000000005</v>
      </c>
      <c r="I684">
        <v>1222.6780800000001</v>
      </c>
    </row>
    <row r="685" spans="8:9" x14ac:dyDescent="0.4">
      <c r="H685">
        <v>33.963280000000005</v>
      </c>
      <c r="I685">
        <v>1222.6780800000001</v>
      </c>
    </row>
    <row r="686" spans="8:9" x14ac:dyDescent="0.4">
      <c r="H686">
        <v>33.963280000000005</v>
      </c>
      <c r="I686">
        <v>1222.6780800000001</v>
      </c>
    </row>
    <row r="687" spans="8:9" x14ac:dyDescent="0.4">
      <c r="H687">
        <v>33.963280000000005</v>
      </c>
      <c r="I687">
        <v>1222.6780800000001</v>
      </c>
    </row>
    <row r="688" spans="8:9" x14ac:dyDescent="0.4">
      <c r="H688">
        <v>33.963280000000005</v>
      </c>
      <c r="I688">
        <v>1222.6780800000001</v>
      </c>
    </row>
    <row r="689" spans="8:9" x14ac:dyDescent="0.4">
      <c r="H689">
        <v>33.963280000000005</v>
      </c>
      <c r="I689">
        <v>1222.6780800000001</v>
      </c>
    </row>
    <row r="690" spans="8:9" x14ac:dyDescent="0.4">
      <c r="H690">
        <v>33.963280000000005</v>
      </c>
      <c r="I690">
        <v>1222.6780800000001</v>
      </c>
    </row>
    <row r="691" spans="8:9" x14ac:dyDescent="0.4">
      <c r="H691">
        <v>34.297053750000003</v>
      </c>
      <c r="I691">
        <v>1234.6939350000002</v>
      </c>
    </row>
    <row r="692" spans="8:9" x14ac:dyDescent="0.4">
      <c r="H692">
        <v>34.297053750000003</v>
      </c>
      <c r="I692">
        <v>1234.6939350000002</v>
      </c>
    </row>
    <row r="693" spans="8:9" x14ac:dyDescent="0.4">
      <c r="H693">
        <v>34.297053750000003</v>
      </c>
      <c r="I693">
        <v>1234.6939350000002</v>
      </c>
    </row>
    <row r="694" spans="8:9" x14ac:dyDescent="0.4">
      <c r="H694">
        <v>34.297053750000003</v>
      </c>
      <c r="I694">
        <v>1234.6939350000002</v>
      </c>
    </row>
    <row r="695" spans="8:9" x14ac:dyDescent="0.4">
      <c r="H695">
        <v>34.297053750000003</v>
      </c>
      <c r="I695">
        <v>1234.6939350000002</v>
      </c>
    </row>
    <row r="696" spans="8:9" x14ac:dyDescent="0.4">
      <c r="H696">
        <v>34.297053750000003</v>
      </c>
      <c r="I696">
        <v>1234.6939350000002</v>
      </c>
    </row>
    <row r="697" spans="8:9" x14ac:dyDescent="0.4">
      <c r="H697">
        <v>34.297053750000003</v>
      </c>
      <c r="I697">
        <v>1234.6939350000002</v>
      </c>
    </row>
    <row r="698" spans="8:9" x14ac:dyDescent="0.4">
      <c r="H698">
        <v>34.297053750000003</v>
      </c>
      <c r="I698">
        <v>1234.6939350000002</v>
      </c>
    </row>
    <row r="699" spans="8:9" x14ac:dyDescent="0.4">
      <c r="H699">
        <v>34.297053750000003</v>
      </c>
      <c r="I699">
        <v>1234.6939350000002</v>
      </c>
    </row>
    <row r="700" spans="8:9" x14ac:dyDescent="0.4">
      <c r="H700">
        <v>34.297053750000003</v>
      </c>
      <c r="I700">
        <v>1234.6939350000002</v>
      </c>
    </row>
    <row r="701" spans="8:9" x14ac:dyDescent="0.4">
      <c r="H701">
        <v>34.606249999999996</v>
      </c>
      <c r="I701">
        <v>1245.8249999999998</v>
      </c>
    </row>
    <row r="702" spans="8:9" x14ac:dyDescent="0.4">
      <c r="H702">
        <v>34.606249999999996</v>
      </c>
      <c r="I702">
        <v>1245.8249999999998</v>
      </c>
    </row>
    <row r="703" spans="8:9" x14ac:dyDescent="0.4">
      <c r="H703">
        <v>34.606249999999996</v>
      </c>
      <c r="I703">
        <v>1245.8249999999998</v>
      </c>
    </row>
    <row r="704" spans="8:9" x14ac:dyDescent="0.4">
      <c r="H704">
        <v>34.606249999999996</v>
      </c>
      <c r="I704">
        <v>1245.8249999999998</v>
      </c>
    </row>
    <row r="705" spans="8:9" x14ac:dyDescent="0.4">
      <c r="H705">
        <v>34.606249999999996</v>
      </c>
      <c r="I705">
        <v>1245.8249999999998</v>
      </c>
    </row>
    <row r="706" spans="8:9" x14ac:dyDescent="0.4">
      <c r="H706">
        <v>34.606249999999996</v>
      </c>
      <c r="I706">
        <v>1245.8249999999998</v>
      </c>
    </row>
    <row r="707" spans="8:9" x14ac:dyDescent="0.4">
      <c r="H707">
        <v>34.606249999999996</v>
      </c>
      <c r="I707">
        <v>1245.8249999999998</v>
      </c>
    </row>
    <row r="708" spans="8:9" x14ac:dyDescent="0.4">
      <c r="H708">
        <v>34.606249999999996</v>
      </c>
      <c r="I708">
        <v>1245.8249999999998</v>
      </c>
    </row>
    <row r="709" spans="8:9" x14ac:dyDescent="0.4">
      <c r="H709">
        <v>34.606249999999996</v>
      </c>
      <c r="I709">
        <v>1245.8249999999998</v>
      </c>
    </row>
    <row r="710" spans="8:9" x14ac:dyDescent="0.4">
      <c r="H710">
        <v>34.606249999999996</v>
      </c>
      <c r="I710">
        <v>1245.8249999999998</v>
      </c>
    </row>
    <row r="711" spans="8:9" x14ac:dyDescent="0.4">
      <c r="H711">
        <v>34.890021249999997</v>
      </c>
      <c r="I711">
        <v>1256.040765</v>
      </c>
    </row>
    <row r="712" spans="8:9" x14ac:dyDescent="0.4">
      <c r="H712">
        <v>34.890021249999997</v>
      </c>
      <c r="I712">
        <v>1256.040765</v>
      </c>
    </row>
    <row r="713" spans="8:9" x14ac:dyDescent="0.4">
      <c r="H713">
        <v>34.890021249999997</v>
      </c>
      <c r="I713">
        <v>1256.040765</v>
      </c>
    </row>
    <row r="714" spans="8:9" x14ac:dyDescent="0.4">
      <c r="H714">
        <v>34.890021249999997</v>
      </c>
      <c r="I714">
        <v>1256.040765</v>
      </c>
    </row>
    <row r="715" spans="8:9" x14ac:dyDescent="0.4">
      <c r="H715">
        <v>34.890021249999997</v>
      </c>
      <c r="I715">
        <v>1256.040765</v>
      </c>
    </row>
    <row r="716" spans="8:9" x14ac:dyDescent="0.4">
      <c r="H716">
        <v>34.890021249999997</v>
      </c>
      <c r="I716">
        <v>1256.040765</v>
      </c>
    </row>
    <row r="717" spans="8:9" x14ac:dyDescent="0.4">
      <c r="H717">
        <v>34.890021249999997</v>
      </c>
      <c r="I717">
        <v>1256.040765</v>
      </c>
    </row>
    <row r="718" spans="8:9" x14ac:dyDescent="0.4">
      <c r="H718">
        <v>34.890021249999997</v>
      </c>
      <c r="I718">
        <v>1256.040765</v>
      </c>
    </row>
    <row r="719" spans="8:9" x14ac:dyDescent="0.4">
      <c r="H719">
        <v>34.890021249999997</v>
      </c>
      <c r="I719">
        <v>1256.040765</v>
      </c>
    </row>
    <row r="720" spans="8:9" x14ac:dyDescent="0.4">
      <c r="H720">
        <v>34.890021249999997</v>
      </c>
      <c r="I720">
        <v>1256.040765</v>
      </c>
    </row>
    <row r="721" spans="8:9" x14ac:dyDescent="0.4">
      <c r="H721">
        <v>35.147519999999993</v>
      </c>
      <c r="I721">
        <v>1265.3107199999997</v>
      </c>
    </row>
    <row r="722" spans="8:9" x14ac:dyDescent="0.4">
      <c r="H722">
        <v>35.147519999999993</v>
      </c>
      <c r="I722">
        <v>1265.3107199999997</v>
      </c>
    </row>
    <row r="723" spans="8:9" x14ac:dyDescent="0.4">
      <c r="H723">
        <v>35.147519999999993</v>
      </c>
      <c r="I723">
        <v>1265.3107199999997</v>
      </c>
    </row>
    <row r="724" spans="8:9" x14ac:dyDescent="0.4">
      <c r="H724">
        <v>35.147519999999993</v>
      </c>
      <c r="I724">
        <v>1265.3107199999997</v>
      </c>
    </row>
    <row r="725" spans="8:9" x14ac:dyDescent="0.4">
      <c r="H725">
        <v>35.147519999999993</v>
      </c>
      <c r="I725">
        <v>1265.3107199999997</v>
      </c>
    </row>
    <row r="726" spans="8:9" x14ac:dyDescent="0.4">
      <c r="H726">
        <v>35.147519999999993</v>
      </c>
      <c r="I726">
        <v>1265.3107199999997</v>
      </c>
    </row>
    <row r="727" spans="8:9" x14ac:dyDescent="0.4">
      <c r="H727">
        <v>35.147519999999993</v>
      </c>
      <c r="I727">
        <v>1265.3107199999997</v>
      </c>
    </row>
    <row r="728" spans="8:9" x14ac:dyDescent="0.4">
      <c r="H728">
        <v>35.147519999999993</v>
      </c>
      <c r="I728">
        <v>1265.3107199999997</v>
      </c>
    </row>
    <row r="729" spans="8:9" x14ac:dyDescent="0.4">
      <c r="H729">
        <v>35.147519999999993</v>
      </c>
      <c r="I729">
        <v>1265.3107199999997</v>
      </c>
    </row>
    <row r="730" spans="8:9" x14ac:dyDescent="0.4">
      <c r="H730">
        <v>35.147519999999993</v>
      </c>
      <c r="I730">
        <v>1265.3107199999997</v>
      </c>
    </row>
    <row r="731" spans="8:9" x14ac:dyDescent="0.4">
      <c r="H731">
        <v>35.37789875</v>
      </c>
      <c r="I731">
        <v>1273.6043549999999</v>
      </c>
    </row>
    <row r="732" spans="8:9" x14ac:dyDescent="0.4">
      <c r="H732">
        <v>35.37789875</v>
      </c>
      <c r="I732">
        <v>1273.6043549999999</v>
      </c>
    </row>
    <row r="733" spans="8:9" x14ac:dyDescent="0.4">
      <c r="H733">
        <v>35.37789875</v>
      </c>
      <c r="I733">
        <v>1273.6043549999999</v>
      </c>
    </row>
    <row r="734" spans="8:9" x14ac:dyDescent="0.4">
      <c r="H734">
        <v>35.37789875</v>
      </c>
      <c r="I734">
        <v>1273.6043549999999</v>
      </c>
    </row>
    <row r="735" spans="8:9" x14ac:dyDescent="0.4">
      <c r="H735">
        <v>35.37789875</v>
      </c>
      <c r="I735">
        <v>1273.6043549999999</v>
      </c>
    </row>
    <row r="736" spans="8:9" x14ac:dyDescent="0.4">
      <c r="H736">
        <v>35.37789875</v>
      </c>
      <c r="I736">
        <v>1273.6043549999999</v>
      </c>
    </row>
    <row r="737" spans="8:9" x14ac:dyDescent="0.4">
      <c r="H737">
        <v>35.37789875</v>
      </c>
      <c r="I737">
        <v>1273.6043549999999</v>
      </c>
    </row>
    <row r="738" spans="8:9" x14ac:dyDescent="0.4">
      <c r="H738">
        <v>35.37789875</v>
      </c>
      <c r="I738">
        <v>1273.6043549999999</v>
      </c>
    </row>
    <row r="739" spans="8:9" x14ac:dyDescent="0.4">
      <c r="H739">
        <v>35.37789875</v>
      </c>
      <c r="I739">
        <v>1273.6043549999999</v>
      </c>
    </row>
    <row r="740" spans="8:9" x14ac:dyDescent="0.4">
      <c r="H740">
        <v>35.37789875</v>
      </c>
      <c r="I740">
        <v>1273.6043549999999</v>
      </c>
    </row>
    <row r="741" spans="8:9" x14ac:dyDescent="0.4">
      <c r="H741">
        <v>35.580310000000004</v>
      </c>
      <c r="I741">
        <v>1280.8911600000001</v>
      </c>
    </row>
    <row r="742" spans="8:9" x14ac:dyDescent="0.4">
      <c r="H742">
        <v>35.580310000000004</v>
      </c>
      <c r="I742">
        <v>1280.8911600000001</v>
      </c>
    </row>
    <row r="743" spans="8:9" x14ac:dyDescent="0.4">
      <c r="H743">
        <v>35.580310000000004</v>
      </c>
      <c r="I743">
        <v>1280.8911600000001</v>
      </c>
    </row>
    <row r="744" spans="8:9" x14ac:dyDescent="0.4">
      <c r="H744">
        <v>35.580310000000004</v>
      </c>
      <c r="I744">
        <v>1280.8911600000001</v>
      </c>
    </row>
    <row r="745" spans="8:9" x14ac:dyDescent="0.4">
      <c r="H745">
        <v>35.580310000000004</v>
      </c>
      <c r="I745">
        <v>1280.8911600000001</v>
      </c>
    </row>
    <row r="746" spans="8:9" x14ac:dyDescent="0.4">
      <c r="H746">
        <v>35.580310000000004</v>
      </c>
      <c r="I746">
        <v>1280.8911600000001</v>
      </c>
    </row>
    <row r="747" spans="8:9" x14ac:dyDescent="0.4">
      <c r="H747">
        <v>35.580310000000004</v>
      </c>
      <c r="I747">
        <v>1280.8911600000001</v>
      </c>
    </row>
    <row r="748" spans="8:9" x14ac:dyDescent="0.4">
      <c r="H748">
        <v>35.580310000000004</v>
      </c>
      <c r="I748">
        <v>1280.8911600000001</v>
      </c>
    </row>
    <row r="749" spans="8:9" x14ac:dyDescent="0.4">
      <c r="H749">
        <v>35.580310000000004</v>
      </c>
      <c r="I749">
        <v>1280.8911600000001</v>
      </c>
    </row>
    <row r="750" spans="8:9" x14ac:dyDescent="0.4">
      <c r="H750">
        <v>35.580310000000004</v>
      </c>
      <c r="I750">
        <v>1280.8911600000001</v>
      </c>
    </row>
    <row r="751" spans="8:9" x14ac:dyDescent="0.4">
      <c r="H751">
        <v>35.753906250000007</v>
      </c>
      <c r="I751">
        <v>1287.1406250000002</v>
      </c>
    </row>
    <row r="752" spans="8:9" x14ac:dyDescent="0.4">
      <c r="H752">
        <v>35.753906250000007</v>
      </c>
      <c r="I752">
        <v>1287.1406250000002</v>
      </c>
    </row>
    <row r="753" spans="8:9" x14ac:dyDescent="0.4">
      <c r="H753">
        <v>35.753906250000007</v>
      </c>
      <c r="I753">
        <v>1287.1406250000002</v>
      </c>
    </row>
    <row r="754" spans="8:9" x14ac:dyDescent="0.4">
      <c r="H754">
        <v>35.753906250000007</v>
      </c>
      <c r="I754">
        <v>1287.1406250000002</v>
      </c>
    </row>
    <row r="755" spans="8:9" x14ac:dyDescent="0.4">
      <c r="H755">
        <v>35.753906250000007</v>
      </c>
      <c r="I755">
        <v>1287.1406250000002</v>
      </c>
    </row>
    <row r="756" spans="8:9" x14ac:dyDescent="0.4">
      <c r="H756">
        <v>35.753906250000007</v>
      </c>
      <c r="I756">
        <v>1287.1406250000002</v>
      </c>
    </row>
    <row r="757" spans="8:9" x14ac:dyDescent="0.4">
      <c r="H757">
        <v>35.753906250000007</v>
      </c>
      <c r="I757">
        <v>1287.1406250000002</v>
      </c>
    </row>
    <row r="758" spans="8:9" x14ac:dyDescent="0.4">
      <c r="H758">
        <v>35.753906250000007</v>
      </c>
      <c r="I758">
        <v>1287.1406250000002</v>
      </c>
    </row>
    <row r="759" spans="8:9" x14ac:dyDescent="0.4">
      <c r="H759">
        <v>35.753906250000007</v>
      </c>
      <c r="I759">
        <v>1287.1406250000002</v>
      </c>
    </row>
    <row r="760" spans="8:9" x14ac:dyDescent="0.4">
      <c r="H760">
        <v>35.753906250000007</v>
      </c>
      <c r="I760">
        <v>1287.1406250000002</v>
      </c>
    </row>
    <row r="761" spans="8:9" x14ac:dyDescent="0.4">
      <c r="H761">
        <v>35.897839999999988</v>
      </c>
      <c r="I761">
        <v>1292.3222399999995</v>
      </c>
    </row>
    <row r="762" spans="8:9" x14ac:dyDescent="0.4">
      <c r="H762">
        <v>35.897839999999988</v>
      </c>
      <c r="I762">
        <v>1292.3222399999995</v>
      </c>
    </row>
    <row r="763" spans="8:9" x14ac:dyDescent="0.4">
      <c r="H763">
        <v>35.897839999999988</v>
      </c>
      <c r="I763">
        <v>1292.3222399999995</v>
      </c>
    </row>
    <row r="764" spans="8:9" x14ac:dyDescent="0.4">
      <c r="H764">
        <v>35.897839999999988</v>
      </c>
      <c r="I764">
        <v>1292.3222399999995</v>
      </c>
    </row>
    <row r="765" spans="8:9" x14ac:dyDescent="0.4">
      <c r="H765">
        <v>35.897839999999988</v>
      </c>
      <c r="I765">
        <v>1292.3222399999995</v>
      </c>
    </row>
    <row r="766" spans="8:9" x14ac:dyDescent="0.4">
      <c r="H766">
        <v>35.897839999999988</v>
      </c>
      <c r="I766">
        <v>1292.3222399999995</v>
      </c>
    </row>
    <row r="767" spans="8:9" x14ac:dyDescent="0.4">
      <c r="H767">
        <v>35.897839999999988</v>
      </c>
      <c r="I767">
        <v>1292.3222399999995</v>
      </c>
    </row>
    <row r="768" spans="8:9" x14ac:dyDescent="0.4">
      <c r="H768">
        <v>35.897839999999988</v>
      </c>
      <c r="I768">
        <v>1292.3222399999995</v>
      </c>
    </row>
    <row r="769" spans="8:9" x14ac:dyDescent="0.4">
      <c r="H769">
        <v>35.897839999999988</v>
      </c>
      <c r="I769">
        <v>1292.3222399999995</v>
      </c>
    </row>
    <row r="770" spans="8:9" x14ac:dyDescent="0.4">
      <c r="H770">
        <v>35.897839999999988</v>
      </c>
      <c r="I770">
        <v>1292.3222399999995</v>
      </c>
    </row>
    <row r="771" spans="8:9" x14ac:dyDescent="0.4">
      <c r="H771">
        <v>36.011263749999991</v>
      </c>
      <c r="I771">
        <v>1296.4054949999997</v>
      </c>
    </row>
    <row r="772" spans="8:9" x14ac:dyDescent="0.4">
      <c r="H772">
        <v>36.011263749999991</v>
      </c>
      <c r="I772">
        <v>1296.4054949999997</v>
      </c>
    </row>
    <row r="773" spans="8:9" x14ac:dyDescent="0.4">
      <c r="H773">
        <v>36.011263749999991</v>
      </c>
      <c r="I773">
        <v>1296.4054949999997</v>
      </c>
    </row>
    <row r="774" spans="8:9" x14ac:dyDescent="0.4">
      <c r="H774">
        <v>36.011263749999991</v>
      </c>
      <c r="I774">
        <v>1296.4054949999997</v>
      </c>
    </row>
    <row r="775" spans="8:9" x14ac:dyDescent="0.4">
      <c r="H775">
        <v>36.011263749999991</v>
      </c>
      <c r="I775">
        <v>1296.4054949999997</v>
      </c>
    </row>
    <row r="776" spans="8:9" x14ac:dyDescent="0.4">
      <c r="H776">
        <v>36.011263749999991</v>
      </c>
      <c r="I776">
        <v>1296.4054949999997</v>
      </c>
    </row>
    <row r="777" spans="8:9" x14ac:dyDescent="0.4">
      <c r="H777">
        <v>36.011263749999991</v>
      </c>
      <c r="I777">
        <v>1296.4054949999997</v>
      </c>
    </row>
    <row r="778" spans="8:9" x14ac:dyDescent="0.4">
      <c r="H778">
        <v>36.011263749999991</v>
      </c>
      <c r="I778">
        <v>1296.4054949999997</v>
      </c>
    </row>
    <row r="779" spans="8:9" x14ac:dyDescent="0.4">
      <c r="H779">
        <v>36.011263749999991</v>
      </c>
      <c r="I779">
        <v>1296.4054949999997</v>
      </c>
    </row>
    <row r="780" spans="8:9" x14ac:dyDescent="0.4">
      <c r="H780">
        <v>36.011263749999991</v>
      </c>
      <c r="I780">
        <v>1296.4054949999997</v>
      </c>
    </row>
    <row r="781" spans="8:9" x14ac:dyDescent="0.4">
      <c r="H781">
        <v>36.093329999999995</v>
      </c>
      <c r="I781">
        <v>1299.3598799999997</v>
      </c>
    </row>
    <row r="782" spans="8:9" x14ac:dyDescent="0.4">
      <c r="H782">
        <v>36.093329999999995</v>
      </c>
      <c r="I782">
        <v>1299.3598799999997</v>
      </c>
    </row>
    <row r="783" spans="8:9" x14ac:dyDescent="0.4">
      <c r="H783">
        <v>36.093329999999995</v>
      </c>
      <c r="I783">
        <v>1299.3598799999997</v>
      </c>
    </row>
    <row r="784" spans="8:9" x14ac:dyDescent="0.4">
      <c r="H784">
        <v>36.093329999999995</v>
      </c>
      <c r="I784">
        <v>1299.3598799999997</v>
      </c>
    </row>
    <row r="785" spans="8:9" x14ac:dyDescent="0.4">
      <c r="H785">
        <v>36.093329999999995</v>
      </c>
      <c r="I785">
        <v>1299.3598799999997</v>
      </c>
    </row>
    <row r="786" spans="8:9" x14ac:dyDescent="0.4">
      <c r="H786">
        <v>36.093329999999995</v>
      </c>
      <c r="I786">
        <v>1299.3598799999997</v>
      </c>
    </row>
    <row r="787" spans="8:9" x14ac:dyDescent="0.4">
      <c r="H787">
        <v>36.093329999999995</v>
      </c>
      <c r="I787">
        <v>1299.3598799999997</v>
      </c>
    </row>
    <row r="788" spans="8:9" x14ac:dyDescent="0.4">
      <c r="H788">
        <v>36.093329999999995</v>
      </c>
      <c r="I788">
        <v>1299.3598799999997</v>
      </c>
    </row>
    <row r="789" spans="8:9" x14ac:dyDescent="0.4">
      <c r="H789">
        <v>36.093329999999995</v>
      </c>
      <c r="I789">
        <v>1299.3598799999997</v>
      </c>
    </row>
    <row r="790" spans="8:9" x14ac:dyDescent="0.4">
      <c r="H790">
        <v>36.093329999999995</v>
      </c>
      <c r="I790">
        <v>1299.3598799999997</v>
      </c>
    </row>
    <row r="791" spans="8:9" x14ac:dyDescent="0.4">
      <c r="H791">
        <v>36.143191249999994</v>
      </c>
      <c r="I791">
        <v>1301.1548849999997</v>
      </c>
    </row>
    <row r="792" spans="8:9" x14ac:dyDescent="0.4">
      <c r="H792">
        <v>36.143191249999994</v>
      </c>
      <c r="I792">
        <v>1301.1548849999997</v>
      </c>
    </row>
    <row r="793" spans="8:9" x14ac:dyDescent="0.4">
      <c r="H793">
        <v>36.143191249999994</v>
      </c>
      <c r="I793">
        <v>1301.1548849999997</v>
      </c>
    </row>
    <row r="794" spans="8:9" x14ac:dyDescent="0.4">
      <c r="H794">
        <v>36.143191249999994</v>
      </c>
      <c r="I794">
        <v>1301.1548849999997</v>
      </c>
    </row>
    <row r="795" spans="8:9" x14ac:dyDescent="0.4">
      <c r="H795">
        <v>36.143191249999994</v>
      </c>
      <c r="I795">
        <v>1301.1548849999997</v>
      </c>
    </row>
    <row r="796" spans="8:9" x14ac:dyDescent="0.4">
      <c r="H796">
        <v>36.143191249999994</v>
      </c>
      <c r="I796">
        <v>1301.1548849999997</v>
      </c>
    </row>
    <row r="797" spans="8:9" x14ac:dyDescent="0.4">
      <c r="H797">
        <v>36.143191249999994</v>
      </c>
      <c r="I797">
        <v>1301.1548849999997</v>
      </c>
    </row>
    <row r="798" spans="8:9" x14ac:dyDescent="0.4">
      <c r="H798">
        <v>36.143191249999994</v>
      </c>
      <c r="I798">
        <v>1301.1548849999997</v>
      </c>
    </row>
    <row r="799" spans="8:9" x14ac:dyDescent="0.4">
      <c r="H799">
        <v>36.143191249999994</v>
      </c>
      <c r="I799">
        <v>1301.1548849999997</v>
      </c>
    </row>
    <row r="800" spans="8:9" x14ac:dyDescent="0.4">
      <c r="H800">
        <v>36.143191249999994</v>
      </c>
      <c r="I800">
        <v>1301.1548849999997</v>
      </c>
    </row>
    <row r="801" spans="8:9" x14ac:dyDescent="0.4">
      <c r="H801">
        <v>36.159999999999997</v>
      </c>
      <c r="I801">
        <v>1301.7599999999998</v>
      </c>
    </row>
    <row r="802" spans="8:9" x14ac:dyDescent="0.4">
      <c r="H802">
        <v>36.159999999999997</v>
      </c>
      <c r="I802">
        <v>1301.7599999999998</v>
      </c>
    </row>
    <row r="803" spans="8:9" x14ac:dyDescent="0.4">
      <c r="H803">
        <v>36.159999999999997</v>
      </c>
      <c r="I803">
        <v>1301.7599999999998</v>
      </c>
    </row>
    <row r="804" spans="8:9" x14ac:dyDescent="0.4">
      <c r="H804">
        <v>36.159999999999997</v>
      </c>
      <c r="I804">
        <v>1301.7599999999998</v>
      </c>
    </row>
    <row r="805" spans="8:9" x14ac:dyDescent="0.4">
      <c r="H805">
        <v>36.159999999999997</v>
      </c>
      <c r="I805">
        <v>1301.7599999999998</v>
      </c>
    </row>
    <row r="806" spans="8:9" x14ac:dyDescent="0.4">
      <c r="H806">
        <v>36.159999999999997</v>
      </c>
      <c r="I806">
        <v>1301.7599999999998</v>
      </c>
    </row>
    <row r="807" spans="8:9" x14ac:dyDescent="0.4">
      <c r="H807">
        <v>36.159999999999997</v>
      </c>
      <c r="I807">
        <v>1301.7599999999998</v>
      </c>
    </row>
    <row r="808" spans="8:9" x14ac:dyDescent="0.4">
      <c r="H808">
        <v>36.159999999999997</v>
      </c>
      <c r="I808">
        <v>1301.7599999999998</v>
      </c>
    </row>
    <row r="809" spans="8:9" x14ac:dyDescent="0.4">
      <c r="H809">
        <v>36.159999999999997</v>
      </c>
      <c r="I809">
        <v>1301.7599999999998</v>
      </c>
    </row>
    <row r="810" spans="8:9" x14ac:dyDescent="0.4">
      <c r="H810">
        <v>36.159999999999997</v>
      </c>
      <c r="I810">
        <v>1301.7599999999998</v>
      </c>
    </row>
    <row r="811" spans="8:9" x14ac:dyDescent="0.4">
      <c r="H811">
        <v>35.14752</v>
      </c>
      <c r="I811">
        <v>1265.3107199999999</v>
      </c>
    </row>
    <row r="812" spans="8:9" x14ac:dyDescent="0.4">
      <c r="H812">
        <v>35.14752</v>
      </c>
      <c r="I812">
        <v>1265.3107199999999</v>
      </c>
    </row>
    <row r="813" spans="8:9" x14ac:dyDescent="0.4">
      <c r="H813">
        <v>35.14752</v>
      </c>
      <c r="I813">
        <v>1265.3107199999999</v>
      </c>
    </row>
    <row r="814" spans="8:9" x14ac:dyDescent="0.4">
      <c r="H814">
        <v>35.14752</v>
      </c>
      <c r="I814">
        <v>1265.3107199999999</v>
      </c>
    </row>
    <row r="815" spans="8:9" x14ac:dyDescent="0.4">
      <c r="H815">
        <v>35.14752</v>
      </c>
      <c r="I815">
        <v>1265.3107199999999</v>
      </c>
    </row>
    <row r="816" spans="8:9" x14ac:dyDescent="0.4">
      <c r="H816">
        <v>35.14752</v>
      </c>
      <c r="I816">
        <v>1265.3107199999999</v>
      </c>
    </row>
    <row r="817" spans="8:9" x14ac:dyDescent="0.4">
      <c r="H817">
        <v>35.14752</v>
      </c>
      <c r="I817">
        <v>1265.3107199999999</v>
      </c>
    </row>
    <row r="818" spans="8:9" x14ac:dyDescent="0.4">
      <c r="H818">
        <v>35.14752</v>
      </c>
      <c r="I818">
        <v>1265.3107199999999</v>
      </c>
    </row>
    <row r="819" spans="8:9" x14ac:dyDescent="0.4">
      <c r="H819">
        <v>35.14752</v>
      </c>
      <c r="I819">
        <v>1265.3107199999999</v>
      </c>
    </row>
    <row r="820" spans="8:9" x14ac:dyDescent="0.4">
      <c r="H820">
        <v>35.14752</v>
      </c>
      <c r="I820">
        <v>1265.3107199999999</v>
      </c>
    </row>
    <row r="821" spans="8:9" x14ac:dyDescent="0.4">
      <c r="H821">
        <v>31.49217792</v>
      </c>
      <c r="I821">
        <v>1133.7184051199999</v>
      </c>
    </row>
    <row r="822" spans="8:9" x14ac:dyDescent="0.4">
      <c r="H822">
        <v>31.49217792</v>
      </c>
      <c r="I822">
        <v>1133.7184051199999</v>
      </c>
    </row>
    <row r="823" spans="8:9" x14ac:dyDescent="0.4">
      <c r="H823">
        <v>31.49217792</v>
      </c>
      <c r="I823">
        <v>1133.7184051199999</v>
      </c>
    </row>
    <row r="824" spans="8:9" x14ac:dyDescent="0.4">
      <c r="H824">
        <v>31.49217792</v>
      </c>
      <c r="I824">
        <v>1133.7184051199999</v>
      </c>
    </row>
    <row r="825" spans="8:9" x14ac:dyDescent="0.4">
      <c r="H825">
        <v>31.49217792</v>
      </c>
      <c r="I825">
        <v>1133.7184051199999</v>
      </c>
    </row>
    <row r="826" spans="8:9" x14ac:dyDescent="0.4">
      <c r="H826">
        <v>31.49217792</v>
      </c>
      <c r="I826">
        <v>1133.7184051199999</v>
      </c>
    </row>
    <row r="827" spans="8:9" x14ac:dyDescent="0.4">
      <c r="H827">
        <v>31.49217792</v>
      </c>
      <c r="I827">
        <v>1133.7184051199999</v>
      </c>
    </row>
    <row r="828" spans="8:9" x14ac:dyDescent="0.4">
      <c r="H828">
        <v>31.49217792</v>
      </c>
      <c r="I828">
        <v>1133.7184051199999</v>
      </c>
    </row>
    <row r="829" spans="8:9" x14ac:dyDescent="0.4">
      <c r="H829">
        <v>31.49217792</v>
      </c>
      <c r="I829">
        <v>1133.7184051199999</v>
      </c>
    </row>
    <row r="830" spans="8:9" x14ac:dyDescent="0.4">
      <c r="H830">
        <v>31.49217792</v>
      </c>
      <c r="I830">
        <v>1133.7184051199999</v>
      </c>
    </row>
    <row r="831" spans="8:9" x14ac:dyDescent="0.4">
      <c r="H831">
        <v>24.689867489279997</v>
      </c>
      <c r="I831">
        <v>888.83522961407994</v>
      </c>
    </row>
    <row r="832" spans="8:9" x14ac:dyDescent="0.4">
      <c r="H832">
        <v>24.689867489279997</v>
      </c>
      <c r="I832">
        <v>888.83522961407994</v>
      </c>
    </row>
    <row r="833" spans="8:9" x14ac:dyDescent="0.4">
      <c r="H833">
        <v>24.689867489279997</v>
      </c>
      <c r="I833">
        <v>888.83522961407994</v>
      </c>
    </row>
    <row r="834" spans="8:9" x14ac:dyDescent="0.4">
      <c r="H834">
        <v>24.689867489279997</v>
      </c>
      <c r="I834">
        <v>888.83522961407994</v>
      </c>
    </row>
    <row r="835" spans="8:9" x14ac:dyDescent="0.4">
      <c r="H835">
        <v>24.689867489279997</v>
      </c>
      <c r="I835">
        <v>888.83522961407994</v>
      </c>
    </row>
    <row r="836" spans="8:9" x14ac:dyDescent="0.4">
      <c r="H836">
        <v>24.689867489279997</v>
      </c>
      <c r="I836">
        <v>888.83522961407994</v>
      </c>
    </row>
    <row r="837" spans="8:9" x14ac:dyDescent="0.4">
      <c r="H837">
        <v>24.689867489279997</v>
      </c>
      <c r="I837">
        <v>888.83522961407994</v>
      </c>
    </row>
    <row r="838" spans="8:9" x14ac:dyDescent="0.4">
      <c r="H838">
        <v>24.689867489279997</v>
      </c>
      <c r="I838">
        <v>888.83522961407994</v>
      </c>
    </row>
    <row r="839" spans="8:9" x14ac:dyDescent="0.4">
      <c r="H839">
        <v>24.689867489279997</v>
      </c>
      <c r="I839">
        <v>888.83522961407994</v>
      </c>
    </row>
    <row r="840" spans="8:9" x14ac:dyDescent="0.4">
      <c r="H840">
        <v>24.689867489279997</v>
      </c>
      <c r="I840">
        <v>888.83522961407994</v>
      </c>
    </row>
    <row r="841" spans="8:9" x14ac:dyDescent="0.4">
      <c r="H841">
        <v>15.999034133053437</v>
      </c>
      <c r="I841">
        <v>575.96522878992369</v>
      </c>
    </row>
    <row r="842" spans="8:9" x14ac:dyDescent="0.4">
      <c r="H842">
        <v>15.999034133053437</v>
      </c>
      <c r="I842">
        <v>575.96522878992369</v>
      </c>
    </row>
    <row r="843" spans="8:9" x14ac:dyDescent="0.4">
      <c r="H843">
        <v>15.999034133053437</v>
      </c>
      <c r="I843">
        <v>575.96522878992369</v>
      </c>
    </row>
    <row r="844" spans="8:9" x14ac:dyDescent="0.4">
      <c r="H844">
        <v>15.999034133053437</v>
      </c>
      <c r="I844">
        <v>575.96522878992369</v>
      </c>
    </row>
    <row r="845" spans="8:9" x14ac:dyDescent="0.4">
      <c r="H845">
        <v>15.999034133053437</v>
      </c>
      <c r="I845">
        <v>575.96522878992369</v>
      </c>
    </row>
    <row r="846" spans="8:9" x14ac:dyDescent="0.4">
      <c r="H846">
        <v>15.999034133053437</v>
      </c>
      <c r="I846">
        <v>575.96522878992369</v>
      </c>
    </row>
    <row r="847" spans="8:9" x14ac:dyDescent="0.4">
      <c r="H847">
        <v>15.999034133053437</v>
      </c>
      <c r="I847">
        <v>575.96522878992369</v>
      </c>
    </row>
    <row r="848" spans="8:9" x14ac:dyDescent="0.4">
      <c r="H848">
        <v>15.999034133053437</v>
      </c>
      <c r="I848">
        <v>575.96522878992369</v>
      </c>
    </row>
    <row r="849" spans="8:9" x14ac:dyDescent="0.4">
      <c r="H849">
        <v>15.999034133053437</v>
      </c>
      <c r="I849">
        <v>575.96522878992369</v>
      </c>
    </row>
    <row r="850" spans="8:9" x14ac:dyDescent="0.4">
      <c r="H850">
        <v>15.999034133053437</v>
      </c>
      <c r="I850">
        <v>575.96522878992369</v>
      </c>
    </row>
    <row r="851" spans="8:9" x14ac:dyDescent="0.4">
      <c r="H851">
        <v>7.9995170665267183</v>
      </c>
      <c r="I851">
        <v>287.98261439496184</v>
      </c>
    </row>
    <row r="852" spans="8:9" x14ac:dyDescent="0.4">
      <c r="H852">
        <v>7.9995170665267183</v>
      </c>
      <c r="I852">
        <v>287.98261439496184</v>
      </c>
    </row>
    <row r="853" spans="8:9" x14ac:dyDescent="0.4">
      <c r="H853">
        <v>7.9995170665267183</v>
      </c>
      <c r="I853">
        <v>287.98261439496184</v>
      </c>
    </row>
    <row r="854" spans="8:9" x14ac:dyDescent="0.4">
      <c r="H854">
        <v>7.9995170665267183</v>
      </c>
      <c r="I854">
        <v>287.98261439496184</v>
      </c>
    </row>
    <row r="855" spans="8:9" x14ac:dyDescent="0.4">
      <c r="H855">
        <v>7.9995170665267183</v>
      </c>
      <c r="I855">
        <v>287.98261439496184</v>
      </c>
    </row>
    <row r="856" spans="8:9" x14ac:dyDescent="0.4">
      <c r="H856">
        <v>7.9995170665267183</v>
      </c>
      <c r="I856">
        <v>287.98261439496184</v>
      </c>
    </row>
    <row r="857" spans="8:9" x14ac:dyDescent="0.4">
      <c r="H857">
        <v>7.9995170665267183</v>
      </c>
      <c r="I857">
        <v>287.98261439496184</v>
      </c>
    </row>
    <row r="858" spans="8:9" x14ac:dyDescent="0.4">
      <c r="H858">
        <v>7.9995170665267183</v>
      </c>
      <c r="I858">
        <v>287.98261439496184</v>
      </c>
    </row>
    <row r="859" spans="8:9" x14ac:dyDescent="0.4">
      <c r="H859">
        <v>7.9995170665267183</v>
      </c>
      <c r="I859">
        <v>287.98261439496184</v>
      </c>
    </row>
    <row r="860" spans="8:9" x14ac:dyDescent="0.4">
      <c r="H860">
        <v>7.9995170665267183</v>
      </c>
      <c r="I860">
        <v>287.98261439496184</v>
      </c>
    </row>
    <row r="861" spans="8:9" x14ac:dyDescent="0.4">
      <c r="H861">
        <v>2.8158300074174036</v>
      </c>
      <c r="I861">
        <v>101.36988026702653</v>
      </c>
    </row>
    <row r="862" spans="8:9" x14ac:dyDescent="0.4">
      <c r="H862">
        <v>2.8158300074174036</v>
      </c>
      <c r="I862">
        <v>101.36988026702653</v>
      </c>
    </row>
    <row r="863" spans="8:9" x14ac:dyDescent="0.4">
      <c r="H863">
        <v>2.8158300074174036</v>
      </c>
      <c r="I863">
        <v>101.36988026702653</v>
      </c>
    </row>
    <row r="864" spans="8:9" x14ac:dyDescent="0.4">
      <c r="H864">
        <v>2.8158300074174036</v>
      </c>
      <c r="I864">
        <v>101.36988026702653</v>
      </c>
    </row>
    <row r="865" spans="8:9" x14ac:dyDescent="0.4">
      <c r="H865">
        <v>2.8158300074174036</v>
      </c>
      <c r="I865">
        <v>101.36988026702653</v>
      </c>
    </row>
    <row r="866" spans="8:9" x14ac:dyDescent="0.4">
      <c r="H866">
        <v>2.8158300074174036</v>
      </c>
      <c r="I866">
        <v>101.36988026702653</v>
      </c>
    </row>
    <row r="867" spans="8:9" x14ac:dyDescent="0.4">
      <c r="H867">
        <v>2.8158300074174036</v>
      </c>
      <c r="I867">
        <v>101.36988026702653</v>
      </c>
    </row>
    <row r="868" spans="8:9" x14ac:dyDescent="0.4">
      <c r="H868">
        <v>2.8158300074174036</v>
      </c>
      <c r="I868">
        <v>101.36988026702653</v>
      </c>
    </row>
    <row r="869" spans="8:9" x14ac:dyDescent="0.4">
      <c r="H869">
        <v>2.8158300074174036</v>
      </c>
      <c r="I869">
        <v>101.36988026702653</v>
      </c>
    </row>
    <row r="870" spans="8:9" x14ac:dyDescent="0.4">
      <c r="H870">
        <v>2.8158300074174036</v>
      </c>
      <c r="I870">
        <v>101.36988026702653</v>
      </c>
    </row>
    <row r="871" spans="8:9" x14ac:dyDescent="0.4">
      <c r="H871">
        <v>0.60821928160215943</v>
      </c>
      <c r="I871">
        <v>21.89589413767774</v>
      </c>
    </row>
    <row r="872" spans="8:9" x14ac:dyDescent="0.4">
      <c r="H872">
        <v>0.60821928160215943</v>
      </c>
      <c r="I872">
        <v>21.89589413767774</v>
      </c>
    </row>
    <row r="873" spans="8:9" x14ac:dyDescent="0.4">
      <c r="H873">
        <v>0.60821928160215943</v>
      </c>
      <c r="I873">
        <v>21.89589413767774</v>
      </c>
    </row>
    <row r="874" spans="8:9" x14ac:dyDescent="0.4">
      <c r="H874">
        <v>0.60821928160215943</v>
      </c>
      <c r="I874">
        <v>21.89589413767774</v>
      </c>
    </row>
    <row r="875" spans="8:9" x14ac:dyDescent="0.4">
      <c r="H875">
        <v>0.60821928160215943</v>
      </c>
      <c r="I875">
        <v>21.89589413767774</v>
      </c>
    </row>
    <row r="876" spans="8:9" x14ac:dyDescent="0.4">
      <c r="H876">
        <v>0.60821928160215943</v>
      </c>
      <c r="I876">
        <v>21.89589413767774</v>
      </c>
    </row>
    <row r="877" spans="8:9" x14ac:dyDescent="0.4">
      <c r="H877">
        <v>0.60821928160215943</v>
      </c>
      <c r="I877">
        <v>21.89589413767774</v>
      </c>
    </row>
    <row r="878" spans="8:9" x14ac:dyDescent="0.4">
      <c r="H878">
        <v>0.60821928160215943</v>
      </c>
      <c r="I878">
        <v>21.89589413767774</v>
      </c>
    </row>
    <row r="879" spans="8:9" x14ac:dyDescent="0.4">
      <c r="H879">
        <v>0.60821928160215943</v>
      </c>
      <c r="I879">
        <v>21.89589413767774</v>
      </c>
    </row>
    <row r="880" spans="8:9" x14ac:dyDescent="0.4">
      <c r="H880">
        <v>0.60821928160215943</v>
      </c>
      <c r="I880">
        <v>21.89589413767774</v>
      </c>
    </row>
    <row r="881" spans="8:9" x14ac:dyDescent="0.4">
      <c r="H881">
        <v>6.3254805286624527E-2</v>
      </c>
      <c r="I881">
        <v>2.277172990318483</v>
      </c>
    </row>
    <row r="882" spans="8:9" x14ac:dyDescent="0.4">
      <c r="H882">
        <v>6.3254805286624527E-2</v>
      </c>
      <c r="I882">
        <v>2.277172990318483</v>
      </c>
    </row>
    <row r="883" spans="8:9" x14ac:dyDescent="0.4">
      <c r="H883">
        <v>6.3254805286624527E-2</v>
      </c>
      <c r="I883">
        <v>2.277172990318483</v>
      </c>
    </row>
    <row r="884" spans="8:9" x14ac:dyDescent="0.4">
      <c r="H884">
        <v>6.3254805286624527E-2</v>
      </c>
      <c r="I884">
        <v>2.277172990318483</v>
      </c>
    </row>
    <row r="885" spans="8:9" x14ac:dyDescent="0.4">
      <c r="H885">
        <v>6.3254805286624527E-2</v>
      </c>
      <c r="I885">
        <v>2.277172990318483</v>
      </c>
    </row>
    <row r="886" spans="8:9" x14ac:dyDescent="0.4">
      <c r="H886">
        <v>6.3254805286624527E-2</v>
      </c>
      <c r="I886">
        <v>2.277172990318483</v>
      </c>
    </row>
    <row r="887" spans="8:9" x14ac:dyDescent="0.4">
      <c r="H887">
        <v>6.3254805286624527E-2</v>
      </c>
      <c r="I887">
        <v>2.277172990318483</v>
      </c>
    </row>
    <row r="888" spans="8:9" x14ac:dyDescent="0.4">
      <c r="H888">
        <v>6.3254805286624527E-2</v>
      </c>
      <c r="I888">
        <v>2.277172990318483</v>
      </c>
    </row>
    <row r="889" spans="8:9" x14ac:dyDescent="0.4">
      <c r="H889">
        <v>6.3254805286624527E-2</v>
      </c>
      <c r="I889">
        <v>2.277172990318483</v>
      </c>
    </row>
    <row r="890" spans="8:9" x14ac:dyDescent="0.4">
      <c r="H890">
        <v>6.3254805286624527E-2</v>
      </c>
      <c r="I890">
        <v>2.277172990318483</v>
      </c>
    </row>
    <row r="891" spans="8:9" x14ac:dyDescent="0.4">
      <c r="H891">
        <v>1.7711345480254867E-3</v>
      </c>
      <c r="I891">
        <v>6.3760843728917521E-2</v>
      </c>
    </row>
    <row r="892" spans="8:9" x14ac:dyDescent="0.4">
      <c r="H892">
        <v>1.7711345480254867E-3</v>
      </c>
      <c r="I892">
        <v>6.3760843728917521E-2</v>
      </c>
    </row>
    <row r="893" spans="8:9" x14ac:dyDescent="0.4">
      <c r="H893">
        <v>1.7711345480254867E-3</v>
      </c>
      <c r="I893">
        <v>6.3760843728917521E-2</v>
      </c>
    </row>
    <row r="894" spans="8:9" x14ac:dyDescent="0.4">
      <c r="H894">
        <v>1.7711345480254867E-3</v>
      </c>
      <c r="I894">
        <v>6.3760843728917521E-2</v>
      </c>
    </row>
    <row r="895" spans="8:9" x14ac:dyDescent="0.4">
      <c r="H895">
        <v>1.7711345480254867E-3</v>
      </c>
      <c r="I895">
        <v>6.3760843728917521E-2</v>
      </c>
    </row>
    <row r="896" spans="8:9" x14ac:dyDescent="0.4">
      <c r="H896">
        <v>1.7711345480254867E-3</v>
      </c>
      <c r="I896">
        <v>6.3760843728917521E-2</v>
      </c>
    </row>
    <row r="897" spans="8:9" x14ac:dyDescent="0.4">
      <c r="H897">
        <v>1.7711345480254867E-3</v>
      </c>
      <c r="I897">
        <v>6.3760843728917521E-2</v>
      </c>
    </row>
    <row r="898" spans="8:9" x14ac:dyDescent="0.4">
      <c r="H898">
        <v>1.7711345480254867E-3</v>
      </c>
      <c r="I898">
        <v>6.3760843728917521E-2</v>
      </c>
    </row>
    <row r="899" spans="8:9" x14ac:dyDescent="0.4">
      <c r="H899">
        <v>1.7711345480254867E-3</v>
      </c>
      <c r="I899">
        <v>6.3760843728917521E-2</v>
      </c>
    </row>
    <row r="900" spans="8:9" x14ac:dyDescent="0.4">
      <c r="H900">
        <v>1.7711345480254867E-3</v>
      </c>
      <c r="I900">
        <v>6.3760843728917521E-2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速度プロファイル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綾真 石原</dc:creator>
  <cp:lastModifiedBy>涼太 鈴木</cp:lastModifiedBy>
  <dcterms:created xsi:type="dcterms:W3CDTF">2026-01-19T05:24:10Z</dcterms:created>
  <dcterms:modified xsi:type="dcterms:W3CDTF">2026-01-28T10:17:52Z</dcterms:modified>
</cp:coreProperties>
</file>